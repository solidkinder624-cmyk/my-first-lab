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い方" sheetId="1" state="visible" r:id="rId1"/>
    <sheet xmlns:r="http://schemas.openxmlformats.org/officeDocument/2006/relationships" name="01_試料マスタ" sheetId="2" state="visible" r:id="rId2"/>
    <sheet xmlns:r="http://schemas.openxmlformats.org/officeDocument/2006/relationships" name="02_偏向角_記録" sheetId="3" state="visible" r:id="rId3"/>
    <sheet xmlns:r="http://schemas.openxmlformats.org/officeDocument/2006/relationships" name="03_偏向角_集計" sheetId="4" state="visible" r:id="rId4"/>
    <sheet xmlns:r="http://schemas.openxmlformats.org/officeDocument/2006/relationships" name="04_アーチファクト_記録" sheetId="5" state="visible" r:id="rId5"/>
    <sheet xmlns:r="http://schemas.openxmlformats.org/officeDocument/2006/relationships" name="05_アーチファクト_集計" sheetId="6" state="visible" r:id="rId6"/>
    <sheet xmlns:r="http://schemas.openxmlformats.org/officeDocument/2006/relationships" name="06_発熱_記録" sheetId="7" state="visible" r:id="rId7"/>
    <sheet xmlns:r="http://schemas.openxmlformats.org/officeDocument/2006/relationships" name="07_延期症例" sheetId="8" state="visible" r:id="rId8"/>
    <sheet xmlns:r="http://schemas.openxmlformats.org/officeDocument/2006/relationships" name="08_延期集計" sheetId="9" state="visible" r:id="rId9"/>
    <sheet xmlns:r="http://schemas.openxmlformats.org/officeDocument/2006/relationships" name="09_スクリーニング検証" sheetId="10" state="visible" r:id="rId10"/>
    <sheet xmlns:r="http://schemas.openxmlformats.org/officeDocument/2006/relationships" name="10_撮影ログ" sheetId="11" state="visible" r:id="rId11"/>
    <sheet xmlns:r="http://schemas.openxmlformats.org/officeDocument/2006/relationships" name="11_安全チェックリスト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0.000"/>
    <numFmt numFmtId="166" formatCode="yyyy/mm/dd"/>
    <numFmt numFmtId="167" formatCode="0.0"/>
    <numFmt numFmtId="168" formatCode="0.0%"/>
    <numFmt numFmtId="169" formatCode="hh:mm"/>
  </numFmts>
  <fonts count="15">
    <font>
      <name val="Calibri"/>
      <family val="2"/>
      <color theme="1"/>
      <sz val="11"/>
      <scheme val="minor"/>
    </font>
    <font>
      <name val="Meiryo"/>
      <b val="1"/>
      <color rgb="000F1626"/>
      <sz val="16"/>
    </font>
    <font>
      <name val="Meiryo"/>
      <color rgb="006B7280"/>
      <sz val="10"/>
    </font>
    <font>
      <name val="Meiryo"/>
      <b val="1"/>
      <color rgb="001B9AAA"/>
      <sz val="12"/>
    </font>
    <font>
      <name val="Meiryo"/>
      <b val="1"/>
      <color rgb="001F2430"/>
      <sz val="10"/>
    </font>
    <font>
      <name val="Meiryo"/>
      <color rgb="001F2430"/>
      <sz val="10"/>
    </font>
    <font>
      <name val="Meiryo"/>
      <b val="1"/>
      <color rgb="00FFFFFF"/>
      <sz val="10"/>
    </font>
    <font>
      <name val="Meiryo"/>
      <i val="1"/>
      <color rgb="003A5A80"/>
      <sz val="10"/>
    </font>
    <font>
      <name val="Meiryo"/>
      <color rgb="006B7280"/>
      <sz val="9"/>
    </font>
    <font>
      <name val="Meiryo"/>
      <b val="1"/>
      <color rgb="000F1626"/>
      <sz val="13"/>
    </font>
    <font>
      <name val="Meiryo"/>
      <b val="1"/>
      <color rgb="00FFFFFF"/>
      <sz val="11"/>
    </font>
    <font>
      <name val="Meiryo"/>
      <color rgb="00B5326A"/>
      <sz val="9"/>
    </font>
    <font>
      <name val="Meiryo"/>
      <b val="1"/>
      <color rgb="00B5326A"/>
      <sz val="11"/>
    </font>
    <font>
      <name val="Meiryo"/>
      <b val="1"/>
      <color rgb="001F2430"/>
      <sz val="11"/>
    </font>
    <font>
      <name val="Meiryo"/>
      <color rgb="00B5326A"/>
      <sz val="10"/>
    </font>
  </fonts>
  <fills count="9">
    <fill>
      <patternFill/>
    </fill>
    <fill>
      <patternFill patternType="gray125"/>
    </fill>
    <fill>
      <patternFill patternType="solid">
        <fgColor rgb="00FFF9E8"/>
      </patternFill>
    </fill>
    <fill>
      <patternFill patternType="solid">
        <fgColor rgb="00F2F4F8"/>
      </patternFill>
    </fill>
    <fill>
      <patternFill patternType="solid">
        <fgColor rgb="00EAF1F8"/>
      </patternFill>
    </fill>
    <fill>
      <patternFill patternType="solid">
        <fgColor rgb="002E3A59"/>
      </patternFill>
    </fill>
    <fill>
      <patternFill patternType="solid">
        <fgColor rgb="001B9AAA"/>
      </patternFill>
    </fill>
    <fill>
      <patternFill patternType="solid">
        <fgColor rgb="00E6F3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4DAE4"/>
      </left>
      <right style="thin">
        <color rgb="00D4DAE4"/>
      </right>
      <top style="thin">
        <color rgb="00D4DAE4"/>
      </top>
      <bottom style="thin">
        <color rgb="00D4DAE4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/>
    </xf>
    <xf numFmtId="0" fontId="4" fillId="4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center"/>
    </xf>
    <xf numFmtId="166" fontId="7" fillId="4" borderId="1" applyAlignment="1" pivotButton="0" quotePrefix="0" xfId="0">
      <alignment vertical="center"/>
    </xf>
    <xf numFmtId="165" fontId="7" fillId="4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166" fontId="5" fillId="2" borderId="1" applyAlignment="1" pivotButton="0" quotePrefix="0" xfId="0">
      <alignment vertical="center"/>
    </xf>
    <xf numFmtId="165" fontId="5" fillId="2" borderId="1" applyAlignment="1" pivotButton="0" quotePrefix="0" xfId="0">
      <alignment vertical="center"/>
    </xf>
    <xf numFmtId="167" fontId="7" fillId="4" borderId="1" applyAlignment="1" pivotButton="0" quotePrefix="0" xfId="0">
      <alignment vertical="center"/>
    </xf>
    <xf numFmtId="165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7" fontId="5" fillId="2" borderId="1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10" fillId="6" borderId="0" applyAlignment="1" pivotButton="0" quotePrefix="0" xfId="0">
      <alignment horizontal="center" vertical="center"/>
    </xf>
    <xf numFmtId="0" fontId="5" fillId="3" borderId="1" pivotButton="0" quotePrefix="0" xfId="0"/>
    <xf numFmtId="2" fontId="5" fillId="3" borderId="1" applyAlignment="1" pivotButton="0" quotePrefix="0" xfId="0">
      <alignment horizontal="center" vertical="center"/>
    </xf>
    <xf numFmtId="0" fontId="4" fillId="3" borderId="1" pivotButton="0" quotePrefix="0" xfId="0"/>
    <xf numFmtId="167" fontId="5" fillId="3" borderId="1" applyAlignment="1" pivotButton="0" quotePrefix="0" xfId="0">
      <alignment horizontal="center" vertical="center"/>
    </xf>
    <xf numFmtId="0" fontId="11" fillId="0" borderId="0" pivotButton="0" quotePrefix="0" xfId="0"/>
    <xf numFmtId="1" fontId="5" fillId="3" borderId="1" applyAlignment="1" pivotButton="0" quotePrefix="0" xfId="0">
      <alignment horizontal="center" vertical="center"/>
    </xf>
    <xf numFmtId="1" fontId="1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7" fontId="12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8" fontId="5" fillId="3" borderId="1" applyAlignment="1" pivotButton="0" quotePrefix="0" xfId="0">
      <alignment horizontal="center" vertical="center"/>
    </xf>
    <xf numFmtId="0" fontId="4" fillId="7" borderId="1" pivotButton="0" quotePrefix="0" xfId="0"/>
    <xf numFmtId="1" fontId="4" fillId="7" borderId="1" pivotButton="0" quotePrefix="0" xfId="0"/>
    <xf numFmtId="168" fontId="4" fillId="7" borderId="1" pivotButton="0" quotePrefix="0" xfId="0"/>
    <xf numFmtId="0" fontId="6" fillId="8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169" fontId="7" fillId="4" borderId="1" applyAlignment="1" pivotButton="0" quotePrefix="0" xfId="0">
      <alignment vertical="center"/>
    </xf>
    <xf numFmtId="169" fontId="5" fillId="2" borderId="1" applyAlignment="1" pivotButton="0" quotePrefix="0" xfId="0">
      <alignment vertical="center"/>
    </xf>
    <xf numFmtId="0" fontId="4" fillId="0" borderId="0" pivotButton="0" quotePrefix="0" xfId="0"/>
    <xf numFmtId="0" fontId="0" fillId="2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14" fillId="0" borderId="0" pivotButton="0" quotePrefix="0" xfId="0"/>
  </cellXfs>
  <cellStyles count="1">
    <cellStyle name="Normal" xfId="0" builtinId="0" hidden="0"/>
  </cellStyles>
  <dxfs count="2">
    <dxf>
      <font>
        <name val="Meiryo"/>
        <b val="1"/>
        <color rgb="00B5326A"/>
        <sz val="10"/>
      </font>
      <fill>
        <patternFill patternType="solid">
          <fgColor rgb="00FBE3E6"/>
        </patternFill>
      </fill>
    </dxf>
    <dxf>
      <font>
        <name val="Meiryo"/>
        <color rgb="002C5F2D"/>
        <sz val="10"/>
      </font>
      <fill>
        <patternFill patternType="solid">
          <fgColor rgb="00E4F3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2" customWidth="1" min="3" max="3"/>
  </cols>
  <sheetData>
    <row r="2" ht="26" customHeight="1">
      <c r="B2" s="1" t="inlineStr">
        <is>
          <t>マグネットネイル × MRI　実験記録・集計ワークブック</t>
        </is>
      </c>
    </row>
    <row r="3">
      <c r="B3" s="2" t="inlineStr">
        <is>
          <t>PRESENTATION_PLAN.md の案A〜案F に対応。記録シートに入力すると、集計シートが自動で更新されます。</t>
        </is>
      </c>
    </row>
    <row r="5">
      <c r="B5" s="3" t="inlineStr">
        <is>
          <t>セルの色</t>
        </is>
      </c>
    </row>
    <row r="6" ht="18" customHeight="1">
      <c r="B6" s="4" t="inlineStr">
        <is>
          <t>うすい黄色</t>
        </is>
      </c>
      <c r="C6" s="5" t="inlineStr">
        <is>
          <t>入力するセル。ここだけ手で埋めます。</t>
        </is>
      </c>
    </row>
    <row r="7" ht="18" customHeight="1">
      <c r="B7" s="6" t="inlineStr">
        <is>
          <t>うすい灰色</t>
        </is>
      </c>
      <c r="C7" s="5" t="inlineStr">
        <is>
          <t>自動計算セル。数式が入っています。上書きしないでください。</t>
        </is>
      </c>
    </row>
    <row r="8" ht="18" customHeight="1">
      <c r="B8" s="7" t="inlineStr">
        <is>
          <t>うすい青色</t>
        </is>
      </c>
      <c r="C8" s="5" t="inlineStr">
        <is>
          <t>記入例。1行目のデータ行に入れてあります。上書きするか、行ごと削除して構いません。</t>
        </is>
      </c>
    </row>
    <row r="10">
      <c r="B10" s="3" t="inlineStr">
        <is>
          <t>シートの構成</t>
        </is>
      </c>
    </row>
    <row r="11" ht="18" customHeight="1">
      <c r="B11" s="8" t="inlineStr">
        <is>
          <t>01_試料マスタ</t>
        </is>
      </c>
      <c r="C11" s="5" t="inlineStr">
        <is>
          <t>供試するネイル試料の台帳。以降の全シートはここの試料IDを参照します。最初に埋めてください。</t>
        </is>
      </c>
    </row>
    <row r="12" ht="18" customHeight="1">
      <c r="B12" s="8" t="inlineStr">
        <is>
          <t>02_偏向角_記録</t>
        </is>
      </c>
      <c r="C12" s="5" t="inlineStr">
        <is>
          <t>案A。ASTM F2052 の偏向角法。1測定1行。磁気力は自動計算されます。</t>
        </is>
      </c>
    </row>
    <row r="13" ht="18" customHeight="1">
      <c r="B13" s="8" t="inlineStr">
        <is>
          <t>03_偏向角_集計</t>
        </is>
      </c>
      <c r="C13" s="5" t="inlineStr">
        <is>
          <t>02から自動集計。試料×装置ごとの平均・SD・95%信頼区間・45°判定。入力不要。</t>
        </is>
      </c>
    </row>
    <row r="14" ht="18" customHeight="1">
      <c r="B14" s="8" t="inlineStr">
        <is>
          <t>04_アーチファクト_記録</t>
        </is>
      </c>
      <c r="C14" s="5" t="inlineStr">
        <is>
          <t>案B。ファントム撮影。1条件1測定1行。撮影条件をすべて残してください。</t>
        </is>
      </c>
    </row>
    <row r="15" ht="18" customHeight="1">
      <c r="B15" s="8" t="inlineStr">
        <is>
          <t>05_アーチファクト_集計</t>
        </is>
      </c>
      <c r="C15" s="5" t="inlineStr">
        <is>
          <t>04から自動集計。シーケンス別・TE別・距離別。入力不要。</t>
        </is>
      </c>
    </row>
    <row r="16" ht="18" customHeight="1">
      <c r="B16" s="8" t="inlineStr">
        <is>
          <t>06_発熱_記録</t>
        </is>
      </c>
      <c r="C16" s="5" t="inlineStr">
        <is>
          <t>案C。示温ラベルの変色を記録。最高到達温度の範囲が自動で出ます。</t>
        </is>
      </c>
    </row>
    <row r="17" ht="18" customHeight="1">
      <c r="B17" s="8" t="inlineStr">
        <is>
          <t>07_延期症例</t>
        </is>
      </c>
      <c r="C17" s="5" t="inlineStr">
        <is>
          <t>案E-1。延期の実態調査。依頼から実施までの日数が自動計算されます。</t>
        </is>
      </c>
    </row>
    <row r="18" ht="18" customHeight="1">
      <c r="B18" s="8" t="inlineStr">
        <is>
          <t>08_延期集計</t>
        </is>
      </c>
      <c r="C18" s="5" t="inlineStr">
        <is>
          <t>07から自動集計。延期率・日数の中央値・部位別内訳・未受検件数。入力不要。</t>
        </is>
      </c>
    </row>
    <row r="19" ht="18" customHeight="1">
      <c r="B19" s="8" t="inlineStr">
        <is>
          <t>09_スクリーニング検証</t>
        </is>
      </c>
      <c r="C19" s="5" t="inlineStr">
        <is>
          <t>案E-3。簡易磁石テストの感度・特異度。2×2表と指標が自動で出ます。</t>
        </is>
      </c>
    </row>
    <row r="20" ht="18" customHeight="1">
      <c r="B20" s="8" t="inlineStr">
        <is>
          <t>10_撮影ログ</t>
        </is>
      </c>
      <c r="C20" s="5" t="inlineStr">
        <is>
          <t>実施記録。日時・装置・立会者。安全管理の記録としても残します。</t>
        </is>
      </c>
    </row>
    <row r="21" ht="18" customHeight="1">
      <c r="B21" s="8" t="inlineStr">
        <is>
          <t>11_安全チェックリスト</t>
        </is>
      </c>
      <c r="C21" s="5" t="inlineStr">
        <is>
          <t>撮影のたびに確認する項目。実施前・実施後。</t>
        </is>
      </c>
    </row>
    <row r="23">
      <c r="B23" s="3" t="inlineStr">
        <is>
          <t>使う順番</t>
        </is>
      </c>
    </row>
    <row r="24" ht="18" customHeight="1">
      <c r="B24" s="8" t="inlineStr">
        <is>
          <t>1</t>
        </is>
      </c>
      <c r="C24" s="5" t="inlineStr">
        <is>
          <t>01_試料マスタ に供試試料を登録する（試料IDを先に決める）</t>
        </is>
      </c>
    </row>
    <row r="25" ht="18" customHeight="1">
      <c r="B25" s="8" t="inlineStr">
        <is>
          <t>2</t>
        </is>
      </c>
      <c r="C25" s="5" t="inlineStr">
        <is>
          <t>07_延期症例 の後ろ向き集計を進める（実験と並行して着手できる）</t>
        </is>
      </c>
    </row>
    <row r="26" ht="18" customHeight="1">
      <c r="B26" s="8" t="inlineStr">
        <is>
          <t>3</t>
        </is>
      </c>
      <c r="C26" s="5" t="inlineStr">
        <is>
          <t>10_撮影ログ と 11_安全チェックリスト を用意して実機作業に入る</t>
        </is>
      </c>
    </row>
    <row r="27" ht="18" customHeight="1">
      <c r="B27" s="8" t="inlineStr">
        <is>
          <t>4</t>
        </is>
      </c>
      <c r="C27" s="5" t="inlineStr">
        <is>
          <t>02 / 04 / 06 に測定値を入れる。集計シートは自動で更新される</t>
        </is>
      </c>
    </row>
    <row r="28" ht="18" customHeight="1">
      <c r="B28" s="8" t="inlineStr">
        <is>
          <t>5</t>
        </is>
      </c>
      <c r="C28" s="5" t="inlineStr">
        <is>
          <t>09 で簡易テストの性能を評価し、運用提案につなげる</t>
        </is>
      </c>
    </row>
    <row r="30">
      <c r="B30" s="3" t="inlineStr">
        <is>
          <t>注意</t>
        </is>
      </c>
    </row>
    <row r="31" ht="18" customHeight="1">
      <c r="B31" s="8" t="inlineStr">
        <is>
          <t>数式について</t>
        </is>
      </c>
      <c r="C31" s="5" t="inlineStr">
        <is>
          <t>自動計算セルの数式は範囲を固定しています。行を挿入する場合は、データ行の末尾より内側に挿入してください。</t>
        </is>
      </c>
    </row>
    <row r="32" ht="30" customHeight="1">
      <c r="B32" s="8" t="inlineStr">
        <is>
          <t>行数の上限</t>
        </is>
      </c>
      <c r="C32" s="5" t="inlineStr">
        <is>
          <t>02は400行、04は800行、06は150行、07は300行、09は200行まで数式を入れてあります。足りなければ最終行を下方向にコピーしてください。</t>
        </is>
      </c>
    </row>
    <row r="33" ht="30" customHeight="1">
      <c r="B33" s="8" t="inlineStr">
        <is>
          <t>検証について</t>
        </is>
      </c>
      <c r="C33" s="5" t="inlineStr">
        <is>
          <t>この環境では Excel / LibreOffice による再計算ができなかったため、数式は Python の Excel 数式評価エンジンで評価して確認しています。初回はお手元の Excel で開いて、集計値が意図どおりか確認してください。</t>
        </is>
      </c>
    </row>
  </sheetData>
  <mergeCells count="4">
    <mergeCell ref="B23:C23"/>
    <mergeCell ref="B30:C30"/>
    <mergeCell ref="B5:C5"/>
    <mergeCell ref="B10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12" customWidth="1" min="4" max="4"/>
    <col width="14" customWidth="1" min="5" max="5"/>
    <col width="12" customWidth="1" min="6" max="6"/>
    <col width="12" customWidth="1" min="7" max="7"/>
    <col width="11" customWidth="1" min="8" max="8"/>
    <col width="40" customWidth="1" min="9" max="9"/>
  </cols>
  <sheetData>
    <row r="1" ht="32" customHeight="1">
      <c r="A1" s="9" t="inlineStr">
        <is>
          <t>試料ID</t>
        </is>
      </c>
      <c r="B1" s="9" t="inlineStr">
        <is>
          <t>製品記号</t>
        </is>
      </c>
      <c r="C1" s="9" t="inlineStr">
        <is>
          <t>カテゴリ</t>
        </is>
      </c>
      <c r="D1" s="9" t="inlineStr">
        <is>
          <t>色</t>
        </is>
      </c>
      <c r="E1" s="9" t="inlineStr">
        <is>
          <t>ロット</t>
        </is>
      </c>
      <c r="F1" s="9" t="inlineStr">
        <is>
          <t>施術日</t>
        </is>
      </c>
      <c r="G1" s="9" t="inlineStr">
        <is>
          <t>磁石配列</t>
        </is>
      </c>
      <c r="H1" s="9" t="inlineStr">
        <is>
          <t>塗布量 (g)</t>
        </is>
      </c>
      <c r="I1" s="9" t="inlineStr">
        <is>
          <t>備考</t>
        </is>
      </c>
    </row>
    <row r="2">
      <c r="A2" s="10" t="inlineStr">
        <is>
          <t>S-01</t>
        </is>
      </c>
      <c r="B2" s="10" t="inlineStr">
        <is>
          <t>製品A</t>
        </is>
      </c>
      <c r="C2" s="10" t="inlineStr">
        <is>
          <t>マグネットネイル</t>
        </is>
      </c>
      <c r="D2" s="10" t="inlineStr">
        <is>
          <t>ネイビー</t>
        </is>
      </c>
      <c r="E2" s="10" t="inlineStr">
        <is>
          <t>L2405A</t>
        </is>
      </c>
      <c r="F2" s="11" t="n">
        <v>46037</v>
      </c>
      <c r="G2" s="10" t="inlineStr">
        <is>
          <t>縦配列</t>
        </is>
      </c>
      <c r="H2" s="12" t="n">
        <v>0.042</v>
      </c>
      <c r="I2" s="10" t="inlineStr">
        <is>
          <t>猫目の発色が強いタイプ</t>
        </is>
      </c>
    </row>
    <row r="3">
      <c r="A3" s="13" t="n"/>
      <c r="B3" s="13" t="n"/>
      <c r="C3" s="13" t="n"/>
      <c r="D3" s="13" t="n"/>
      <c r="E3" s="13" t="n"/>
      <c r="F3" s="14" t="n"/>
      <c r="G3" s="13" t="n"/>
      <c r="H3" s="15" t="n"/>
      <c r="I3" s="13" t="n"/>
    </row>
    <row r="4">
      <c r="A4" s="13" t="n"/>
      <c r="B4" s="13" t="n"/>
      <c r="C4" s="13" t="n"/>
      <c r="D4" s="13" t="n"/>
      <c r="E4" s="13" t="n"/>
      <c r="F4" s="14" t="n"/>
      <c r="G4" s="13" t="n"/>
      <c r="H4" s="15" t="n"/>
      <c r="I4" s="13" t="n"/>
    </row>
    <row r="5">
      <c r="A5" s="13" t="n"/>
      <c r="B5" s="13" t="n"/>
      <c r="C5" s="13" t="n"/>
      <c r="D5" s="13" t="n"/>
      <c r="E5" s="13" t="n"/>
      <c r="F5" s="14" t="n"/>
      <c r="G5" s="13" t="n"/>
      <c r="H5" s="15" t="n"/>
      <c r="I5" s="13" t="n"/>
    </row>
    <row r="6">
      <c r="A6" s="13" t="n"/>
      <c r="B6" s="13" t="n"/>
      <c r="C6" s="13" t="n"/>
      <c r="D6" s="13" t="n"/>
      <c r="E6" s="13" t="n"/>
      <c r="F6" s="14" t="n"/>
      <c r="G6" s="13" t="n"/>
      <c r="H6" s="15" t="n"/>
      <c r="I6" s="13" t="n"/>
    </row>
    <row r="7">
      <c r="A7" s="13" t="n"/>
      <c r="B7" s="13" t="n"/>
      <c r="C7" s="13" t="n"/>
      <c r="D7" s="13" t="n"/>
      <c r="E7" s="13" t="n"/>
      <c r="F7" s="14" t="n"/>
      <c r="G7" s="13" t="n"/>
      <c r="H7" s="15" t="n"/>
      <c r="I7" s="13" t="n"/>
    </row>
    <row r="8">
      <c r="A8" s="13" t="n"/>
      <c r="B8" s="13" t="n"/>
      <c r="C8" s="13" t="n"/>
      <c r="D8" s="13" t="n"/>
      <c r="E8" s="13" t="n"/>
      <c r="F8" s="14" t="n"/>
      <c r="G8" s="13" t="n"/>
      <c r="H8" s="15" t="n"/>
      <c r="I8" s="13" t="n"/>
    </row>
    <row r="9">
      <c r="A9" s="13" t="n"/>
      <c r="B9" s="13" t="n"/>
      <c r="C9" s="13" t="n"/>
      <c r="D9" s="13" t="n"/>
      <c r="E9" s="13" t="n"/>
      <c r="F9" s="14" t="n"/>
      <c r="G9" s="13" t="n"/>
      <c r="H9" s="15" t="n"/>
      <c r="I9" s="13" t="n"/>
    </row>
    <row r="10">
      <c r="A10" s="13" t="n"/>
      <c r="B10" s="13" t="n"/>
      <c r="C10" s="13" t="n"/>
      <c r="D10" s="13" t="n"/>
      <c r="E10" s="13" t="n"/>
      <c r="F10" s="14" t="n"/>
      <c r="G10" s="13" t="n"/>
      <c r="H10" s="15" t="n"/>
      <c r="I10" s="13" t="n"/>
    </row>
    <row r="11">
      <c r="A11" s="13" t="n"/>
      <c r="B11" s="13" t="n"/>
      <c r="C11" s="13" t="n"/>
      <c r="D11" s="13" t="n"/>
      <c r="E11" s="13" t="n"/>
      <c r="F11" s="14" t="n"/>
      <c r="G11" s="13" t="n"/>
      <c r="H11" s="15" t="n"/>
      <c r="I11" s="13" t="n"/>
    </row>
    <row r="12">
      <c r="A12" s="13" t="n"/>
      <c r="B12" s="13" t="n"/>
      <c r="C12" s="13" t="n"/>
      <c r="D12" s="13" t="n"/>
      <c r="E12" s="13" t="n"/>
      <c r="F12" s="14" t="n"/>
      <c r="G12" s="13" t="n"/>
      <c r="H12" s="15" t="n"/>
      <c r="I12" s="13" t="n"/>
    </row>
    <row r="13">
      <c r="A13" s="13" t="n"/>
      <c r="B13" s="13" t="n"/>
      <c r="C13" s="13" t="n"/>
      <c r="D13" s="13" t="n"/>
      <c r="E13" s="13" t="n"/>
      <c r="F13" s="14" t="n"/>
      <c r="G13" s="13" t="n"/>
      <c r="H13" s="15" t="n"/>
      <c r="I13" s="13" t="n"/>
    </row>
    <row r="14">
      <c r="A14" s="13" t="n"/>
      <c r="B14" s="13" t="n"/>
      <c r="C14" s="13" t="n"/>
      <c r="D14" s="13" t="n"/>
      <c r="E14" s="13" t="n"/>
      <c r="F14" s="14" t="n"/>
      <c r="G14" s="13" t="n"/>
      <c r="H14" s="15" t="n"/>
      <c r="I14" s="13" t="n"/>
    </row>
    <row r="15">
      <c r="A15" s="13" t="n"/>
      <c r="B15" s="13" t="n"/>
      <c r="C15" s="13" t="n"/>
      <c r="D15" s="13" t="n"/>
      <c r="E15" s="13" t="n"/>
      <c r="F15" s="14" t="n"/>
      <c r="G15" s="13" t="n"/>
      <c r="H15" s="15" t="n"/>
      <c r="I15" s="13" t="n"/>
    </row>
    <row r="16">
      <c r="A16" s="13" t="n"/>
      <c r="B16" s="13" t="n"/>
      <c r="C16" s="13" t="n"/>
      <c r="D16" s="13" t="n"/>
      <c r="E16" s="13" t="n"/>
      <c r="F16" s="14" t="n"/>
      <c r="G16" s="13" t="n"/>
      <c r="H16" s="15" t="n"/>
      <c r="I16" s="13" t="n"/>
    </row>
    <row r="17">
      <c r="A17" s="13" t="n"/>
      <c r="B17" s="13" t="n"/>
      <c r="C17" s="13" t="n"/>
      <c r="D17" s="13" t="n"/>
      <c r="E17" s="13" t="n"/>
      <c r="F17" s="14" t="n"/>
      <c r="G17" s="13" t="n"/>
      <c r="H17" s="15" t="n"/>
      <c r="I17" s="13" t="n"/>
    </row>
    <row r="18">
      <c r="A18" s="13" t="n"/>
      <c r="B18" s="13" t="n"/>
      <c r="C18" s="13" t="n"/>
      <c r="D18" s="13" t="n"/>
      <c r="E18" s="13" t="n"/>
      <c r="F18" s="14" t="n"/>
      <c r="G18" s="13" t="n"/>
      <c r="H18" s="15" t="n"/>
      <c r="I18" s="13" t="n"/>
    </row>
    <row r="19">
      <c r="A19" s="13" t="n"/>
      <c r="B19" s="13" t="n"/>
      <c r="C19" s="13" t="n"/>
      <c r="D19" s="13" t="n"/>
      <c r="E19" s="13" t="n"/>
      <c r="F19" s="14" t="n"/>
      <c r="G19" s="13" t="n"/>
      <c r="H19" s="15" t="n"/>
      <c r="I19" s="13" t="n"/>
    </row>
    <row r="20">
      <c r="A20" s="13" t="n"/>
      <c r="B20" s="13" t="n"/>
      <c r="C20" s="13" t="n"/>
      <c r="D20" s="13" t="n"/>
      <c r="E20" s="13" t="n"/>
      <c r="F20" s="14" t="n"/>
      <c r="G20" s="13" t="n"/>
      <c r="H20" s="15" t="n"/>
      <c r="I20" s="13" t="n"/>
    </row>
    <row r="21">
      <c r="A21" s="13" t="n"/>
      <c r="B21" s="13" t="n"/>
      <c r="C21" s="13" t="n"/>
      <c r="D21" s="13" t="n"/>
      <c r="E21" s="13" t="n"/>
      <c r="F21" s="14" t="n"/>
      <c r="G21" s="13" t="n"/>
      <c r="H21" s="15" t="n"/>
      <c r="I21" s="13" t="n"/>
    </row>
    <row r="22">
      <c r="A22" s="13" t="n"/>
      <c r="B22" s="13" t="n"/>
      <c r="C22" s="13" t="n"/>
      <c r="D22" s="13" t="n"/>
      <c r="E22" s="13" t="n"/>
      <c r="F22" s="14" t="n"/>
      <c r="G22" s="13" t="n"/>
      <c r="H22" s="15" t="n"/>
      <c r="I22" s="13" t="n"/>
    </row>
    <row r="23">
      <c r="A23" s="13" t="n"/>
      <c r="B23" s="13" t="n"/>
      <c r="C23" s="13" t="n"/>
      <c r="D23" s="13" t="n"/>
      <c r="E23" s="13" t="n"/>
      <c r="F23" s="14" t="n"/>
      <c r="G23" s="13" t="n"/>
      <c r="H23" s="15" t="n"/>
      <c r="I23" s="13" t="n"/>
    </row>
    <row r="24">
      <c r="A24" s="13" t="n"/>
      <c r="B24" s="13" t="n"/>
      <c r="C24" s="13" t="n"/>
      <c r="D24" s="13" t="n"/>
      <c r="E24" s="13" t="n"/>
      <c r="F24" s="14" t="n"/>
      <c r="G24" s="13" t="n"/>
      <c r="H24" s="15" t="n"/>
      <c r="I24" s="13" t="n"/>
    </row>
    <row r="25">
      <c r="A25" s="13" t="n"/>
      <c r="B25" s="13" t="n"/>
      <c r="C25" s="13" t="n"/>
      <c r="D25" s="13" t="n"/>
      <c r="E25" s="13" t="n"/>
      <c r="F25" s="14" t="n"/>
      <c r="G25" s="13" t="n"/>
      <c r="H25" s="15" t="n"/>
      <c r="I25" s="13" t="n"/>
    </row>
    <row r="26">
      <c r="A26" s="13" t="n"/>
      <c r="B26" s="13" t="n"/>
      <c r="C26" s="13" t="n"/>
      <c r="D26" s="13" t="n"/>
      <c r="E26" s="13" t="n"/>
      <c r="F26" s="14" t="n"/>
      <c r="G26" s="13" t="n"/>
      <c r="H26" s="15" t="n"/>
      <c r="I26" s="13" t="n"/>
    </row>
    <row r="27">
      <c r="A27" s="13" t="n"/>
      <c r="B27" s="13" t="n"/>
      <c r="C27" s="13" t="n"/>
      <c r="D27" s="13" t="n"/>
      <c r="E27" s="13" t="n"/>
      <c r="F27" s="14" t="n"/>
      <c r="G27" s="13" t="n"/>
      <c r="H27" s="15" t="n"/>
      <c r="I27" s="13" t="n"/>
    </row>
    <row r="28">
      <c r="A28" s="13" t="n"/>
      <c r="B28" s="13" t="n"/>
      <c r="C28" s="13" t="n"/>
      <c r="D28" s="13" t="n"/>
      <c r="E28" s="13" t="n"/>
      <c r="F28" s="14" t="n"/>
      <c r="G28" s="13" t="n"/>
      <c r="H28" s="15" t="n"/>
      <c r="I28" s="13" t="n"/>
    </row>
    <row r="29">
      <c r="A29" s="13" t="n"/>
      <c r="B29" s="13" t="n"/>
      <c r="C29" s="13" t="n"/>
      <c r="D29" s="13" t="n"/>
      <c r="E29" s="13" t="n"/>
      <c r="F29" s="14" t="n"/>
      <c r="G29" s="13" t="n"/>
      <c r="H29" s="15" t="n"/>
      <c r="I29" s="13" t="n"/>
    </row>
    <row r="30">
      <c r="A30" s="13" t="n"/>
      <c r="B30" s="13" t="n"/>
      <c r="C30" s="13" t="n"/>
      <c r="D30" s="13" t="n"/>
      <c r="E30" s="13" t="n"/>
      <c r="F30" s="14" t="n"/>
      <c r="G30" s="13" t="n"/>
      <c r="H30" s="15" t="n"/>
      <c r="I30" s="13" t="n"/>
    </row>
    <row r="31">
      <c r="A31" s="13" t="n"/>
      <c r="B31" s="13" t="n"/>
      <c r="C31" s="13" t="n"/>
      <c r="D31" s="13" t="n"/>
      <c r="E31" s="13" t="n"/>
      <c r="F31" s="14" t="n"/>
      <c r="G31" s="13" t="n"/>
      <c r="H31" s="15" t="n"/>
      <c r="I31" s="13" t="n"/>
    </row>
    <row r="32">
      <c r="A32" s="13" t="n"/>
      <c r="B32" s="13" t="n"/>
      <c r="C32" s="13" t="n"/>
      <c r="D32" s="13" t="n"/>
      <c r="E32" s="13" t="n"/>
      <c r="F32" s="14" t="n"/>
      <c r="G32" s="13" t="n"/>
      <c r="H32" s="15" t="n"/>
      <c r="I32" s="13" t="n"/>
    </row>
    <row r="33">
      <c r="A33" s="13" t="n"/>
      <c r="B33" s="13" t="n"/>
      <c r="C33" s="13" t="n"/>
      <c r="D33" s="13" t="n"/>
      <c r="E33" s="13" t="n"/>
      <c r="F33" s="14" t="n"/>
      <c r="G33" s="13" t="n"/>
      <c r="H33" s="15" t="n"/>
      <c r="I33" s="13" t="n"/>
    </row>
    <row r="34">
      <c r="A34" s="13" t="n"/>
      <c r="B34" s="13" t="n"/>
      <c r="C34" s="13" t="n"/>
      <c r="D34" s="13" t="n"/>
      <c r="E34" s="13" t="n"/>
      <c r="F34" s="14" t="n"/>
      <c r="G34" s="13" t="n"/>
      <c r="H34" s="15" t="n"/>
      <c r="I34" s="13" t="n"/>
    </row>
    <row r="35">
      <c r="A35" s="13" t="n"/>
      <c r="B35" s="13" t="n"/>
      <c r="C35" s="13" t="n"/>
      <c r="D35" s="13" t="n"/>
      <c r="E35" s="13" t="n"/>
      <c r="F35" s="14" t="n"/>
      <c r="G35" s="13" t="n"/>
      <c r="H35" s="15" t="n"/>
      <c r="I35" s="13" t="n"/>
    </row>
    <row r="36">
      <c r="A36" s="13" t="n"/>
      <c r="B36" s="13" t="n"/>
      <c r="C36" s="13" t="n"/>
      <c r="D36" s="13" t="n"/>
      <c r="E36" s="13" t="n"/>
      <c r="F36" s="14" t="n"/>
      <c r="G36" s="13" t="n"/>
      <c r="H36" s="15" t="n"/>
      <c r="I36" s="13" t="n"/>
    </row>
    <row r="37">
      <c r="A37" s="13" t="n"/>
      <c r="B37" s="13" t="n"/>
      <c r="C37" s="13" t="n"/>
      <c r="D37" s="13" t="n"/>
      <c r="E37" s="13" t="n"/>
      <c r="F37" s="14" t="n"/>
      <c r="G37" s="13" t="n"/>
      <c r="H37" s="15" t="n"/>
      <c r="I37" s="13" t="n"/>
    </row>
    <row r="38">
      <c r="A38" s="13" t="n"/>
      <c r="B38" s="13" t="n"/>
      <c r="C38" s="13" t="n"/>
      <c r="D38" s="13" t="n"/>
      <c r="E38" s="13" t="n"/>
      <c r="F38" s="14" t="n"/>
      <c r="G38" s="13" t="n"/>
      <c r="H38" s="15" t="n"/>
      <c r="I38" s="13" t="n"/>
    </row>
    <row r="39">
      <c r="A39" s="13" t="n"/>
      <c r="B39" s="13" t="n"/>
      <c r="C39" s="13" t="n"/>
      <c r="D39" s="13" t="n"/>
      <c r="E39" s="13" t="n"/>
      <c r="F39" s="14" t="n"/>
      <c r="G39" s="13" t="n"/>
      <c r="H39" s="15" t="n"/>
      <c r="I39" s="13" t="n"/>
    </row>
    <row r="40">
      <c r="A40" s="13" t="n"/>
      <c r="B40" s="13" t="n"/>
      <c r="C40" s="13" t="n"/>
      <c r="D40" s="13" t="n"/>
      <c r="E40" s="13" t="n"/>
      <c r="F40" s="14" t="n"/>
      <c r="G40" s="13" t="n"/>
      <c r="H40" s="15" t="n"/>
      <c r="I40" s="13" t="n"/>
    </row>
    <row r="41">
      <c r="A41" s="13" t="n"/>
      <c r="B41" s="13" t="n"/>
      <c r="C41" s="13" t="n"/>
      <c r="D41" s="13" t="n"/>
      <c r="E41" s="13" t="n"/>
      <c r="F41" s="14" t="n"/>
      <c r="G41" s="13" t="n"/>
      <c r="H41" s="15" t="n"/>
      <c r="I41" s="13" t="n"/>
    </row>
    <row r="42">
      <c r="A42" s="13" t="n"/>
      <c r="B42" s="13" t="n"/>
      <c r="C42" s="13" t="n"/>
      <c r="D42" s="13" t="n"/>
      <c r="E42" s="13" t="n"/>
      <c r="F42" s="14" t="n"/>
      <c r="G42" s="13" t="n"/>
      <c r="H42" s="15" t="n"/>
      <c r="I42" s="13" t="n"/>
    </row>
    <row r="43">
      <c r="A43" s="13" t="n"/>
      <c r="B43" s="13" t="n"/>
      <c r="C43" s="13" t="n"/>
      <c r="D43" s="13" t="n"/>
      <c r="E43" s="13" t="n"/>
      <c r="F43" s="14" t="n"/>
      <c r="G43" s="13" t="n"/>
      <c r="H43" s="15" t="n"/>
      <c r="I43" s="13" t="n"/>
    </row>
    <row r="44">
      <c r="A44" s="13" t="n"/>
      <c r="B44" s="13" t="n"/>
      <c r="C44" s="13" t="n"/>
      <c r="D44" s="13" t="n"/>
      <c r="E44" s="13" t="n"/>
      <c r="F44" s="14" t="n"/>
      <c r="G44" s="13" t="n"/>
      <c r="H44" s="15" t="n"/>
      <c r="I44" s="13" t="n"/>
    </row>
    <row r="45">
      <c r="A45" s="13" t="n"/>
      <c r="B45" s="13" t="n"/>
      <c r="C45" s="13" t="n"/>
      <c r="D45" s="13" t="n"/>
      <c r="E45" s="13" t="n"/>
      <c r="F45" s="14" t="n"/>
      <c r="G45" s="13" t="n"/>
      <c r="H45" s="15" t="n"/>
      <c r="I45" s="13" t="n"/>
    </row>
    <row r="46">
      <c r="A46" s="13" t="n"/>
      <c r="B46" s="13" t="n"/>
      <c r="C46" s="13" t="n"/>
      <c r="D46" s="13" t="n"/>
      <c r="E46" s="13" t="n"/>
      <c r="F46" s="14" t="n"/>
      <c r="G46" s="13" t="n"/>
      <c r="H46" s="15" t="n"/>
      <c r="I46" s="13" t="n"/>
    </row>
    <row r="47">
      <c r="A47" s="13" t="n"/>
      <c r="B47" s="13" t="n"/>
      <c r="C47" s="13" t="n"/>
      <c r="D47" s="13" t="n"/>
      <c r="E47" s="13" t="n"/>
      <c r="F47" s="14" t="n"/>
      <c r="G47" s="13" t="n"/>
      <c r="H47" s="15" t="n"/>
      <c r="I47" s="13" t="n"/>
    </row>
    <row r="48">
      <c r="A48" s="13" t="n"/>
      <c r="B48" s="13" t="n"/>
      <c r="C48" s="13" t="n"/>
      <c r="D48" s="13" t="n"/>
      <c r="E48" s="13" t="n"/>
      <c r="F48" s="14" t="n"/>
      <c r="G48" s="13" t="n"/>
      <c r="H48" s="15" t="n"/>
      <c r="I48" s="13" t="n"/>
    </row>
    <row r="49">
      <c r="A49" s="13" t="n"/>
      <c r="B49" s="13" t="n"/>
      <c r="C49" s="13" t="n"/>
      <c r="D49" s="13" t="n"/>
      <c r="E49" s="13" t="n"/>
      <c r="F49" s="14" t="n"/>
      <c r="G49" s="13" t="n"/>
      <c r="H49" s="15" t="n"/>
      <c r="I49" s="13" t="n"/>
    </row>
    <row r="50">
      <c r="A50" s="13" t="n"/>
      <c r="B50" s="13" t="n"/>
      <c r="C50" s="13" t="n"/>
      <c r="D50" s="13" t="n"/>
      <c r="E50" s="13" t="n"/>
      <c r="F50" s="14" t="n"/>
      <c r="G50" s="13" t="n"/>
      <c r="H50" s="15" t="n"/>
      <c r="I50" s="13" t="n"/>
    </row>
    <row r="51">
      <c r="A51" s="13" t="n"/>
      <c r="B51" s="13" t="n"/>
      <c r="C51" s="13" t="n"/>
      <c r="D51" s="13" t="n"/>
      <c r="E51" s="13" t="n"/>
      <c r="F51" s="14" t="n"/>
      <c r="G51" s="13" t="n"/>
      <c r="H51" s="15" t="n"/>
      <c r="I51" s="13" t="n"/>
    </row>
    <row r="52">
      <c r="A52" s="13" t="n"/>
      <c r="B52" s="13" t="n"/>
      <c r="C52" s="13" t="n"/>
      <c r="D52" s="13" t="n"/>
      <c r="E52" s="13" t="n"/>
      <c r="F52" s="14" t="n"/>
      <c r="G52" s="13" t="n"/>
      <c r="H52" s="15" t="n"/>
      <c r="I52" s="13" t="n"/>
    </row>
    <row r="53">
      <c r="A53" s="13" t="n"/>
      <c r="B53" s="13" t="n"/>
      <c r="C53" s="13" t="n"/>
      <c r="D53" s="13" t="n"/>
      <c r="E53" s="13" t="n"/>
      <c r="F53" s="14" t="n"/>
      <c r="G53" s="13" t="n"/>
      <c r="H53" s="15" t="n"/>
      <c r="I53" s="13" t="n"/>
    </row>
    <row r="54">
      <c r="A54" s="13" t="n"/>
      <c r="B54" s="13" t="n"/>
      <c r="C54" s="13" t="n"/>
      <c r="D54" s="13" t="n"/>
      <c r="E54" s="13" t="n"/>
      <c r="F54" s="14" t="n"/>
      <c r="G54" s="13" t="n"/>
      <c r="H54" s="15" t="n"/>
      <c r="I54" s="13" t="n"/>
    </row>
    <row r="55">
      <c r="A55" s="13" t="n"/>
      <c r="B55" s="13" t="n"/>
      <c r="C55" s="13" t="n"/>
      <c r="D55" s="13" t="n"/>
      <c r="E55" s="13" t="n"/>
      <c r="F55" s="14" t="n"/>
      <c r="G55" s="13" t="n"/>
      <c r="H55" s="15" t="n"/>
      <c r="I55" s="13" t="n"/>
    </row>
    <row r="56">
      <c r="A56" s="13" t="n"/>
      <c r="B56" s="13" t="n"/>
      <c r="C56" s="13" t="n"/>
      <c r="D56" s="13" t="n"/>
      <c r="E56" s="13" t="n"/>
      <c r="F56" s="14" t="n"/>
      <c r="G56" s="13" t="n"/>
      <c r="H56" s="15" t="n"/>
      <c r="I56" s="13" t="n"/>
    </row>
    <row r="57">
      <c r="A57" s="13" t="n"/>
      <c r="B57" s="13" t="n"/>
      <c r="C57" s="13" t="n"/>
      <c r="D57" s="13" t="n"/>
      <c r="E57" s="13" t="n"/>
      <c r="F57" s="14" t="n"/>
      <c r="G57" s="13" t="n"/>
      <c r="H57" s="15" t="n"/>
      <c r="I57" s="13" t="n"/>
    </row>
    <row r="58">
      <c r="A58" s="13" t="n"/>
      <c r="B58" s="13" t="n"/>
      <c r="C58" s="13" t="n"/>
      <c r="D58" s="13" t="n"/>
      <c r="E58" s="13" t="n"/>
      <c r="F58" s="14" t="n"/>
      <c r="G58" s="13" t="n"/>
      <c r="H58" s="15" t="n"/>
      <c r="I58" s="13" t="n"/>
    </row>
    <row r="59">
      <c r="A59" s="13" t="n"/>
      <c r="B59" s="13" t="n"/>
      <c r="C59" s="13" t="n"/>
      <c r="D59" s="13" t="n"/>
      <c r="E59" s="13" t="n"/>
      <c r="F59" s="14" t="n"/>
      <c r="G59" s="13" t="n"/>
      <c r="H59" s="15" t="n"/>
      <c r="I59" s="13" t="n"/>
    </row>
    <row r="60">
      <c r="A60" s="13" t="n"/>
      <c r="B60" s="13" t="n"/>
      <c r="C60" s="13" t="n"/>
      <c r="D60" s="13" t="n"/>
      <c r="E60" s="13" t="n"/>
      <c r="F60" s="14" t="n"/>
      <c r="G60" s="13" t="n"/>
      <c r="H60" s="15" t="n"/>
      <c r="I60" s="13" t="n"/>
    </row>
    <row r="61">
      <c r="A61" s="13" t="n"/>
      <c r="B61" s="13" t="n"/>
      <c r="C61" s="13" t="n"/>
      <c r="D61" s="13" t="n"/>
      <c r="E61" s="13" t="n"/>
      <c r="F61" s="14" t="n"/>
      <c r="G61" s="13" t="n"/>
      <c r="H61" s="15" t="n"/>
      <c r="I61" s="13" t="n"/>
    </row>
    <row r="62">
      <c r="A62" s="13" t="n"/>
      <c r="B62" s="13" t="n"/>
      <c r="C62" s="13" t="n"/>
      <c r="D62" s="13" t="n"/>
      <c r="E62" s="13" t="n"/>
      <c r="F62" s="14" t="n"/>
      <c r="G62" s="13" t="n"/>
      <c r="H62" s="15" t="n"/>
      <c r="I62" s="13" t="n"/>
    </row>
    <row r="63">
      <c r="A63" s="13" t="n"/>
      <c r="B63" s="13" t="n"/>
      <c r="C63" s="13" t="n"/>
      <c r="D63" s="13" t="n"/>
      <c r="E63" s="13" t="n"/>
      <c r="F63" s="14" t="n"/>
      <c r="G63" s="13" t="n"/>
      <c r="H63" s="15" t="n"/>
      <c r="I63" s="13" t="n"/>
    </row>
    <row r="64">
      <c r="A64" s="13" t="n"/>
      <c r="B64" s="13" t="n"/>
      <c r="C64" s="13" t="n"/>
      <c r="D64" s="13" t="n"/>
      <c r="E64" s="13" t="n"/>
      <c r="F64" s="14" t="n"/>
      <c r="G64" s="13" t="n"/>
      <c r="H64" s="15" t="n"/>
      <c r="I64" s="13" t="n"/>
    </row>
    <row r="65">
      <c r="A65" s="13" t="n"/>
      <c r="B65" s="13" t="n"/>
      <c r="C65" s="13" t="n"/>
      <c r="D65" s="13" t="n"/>
      <c r="E65" s="13" t="n"/>
      <c r="F65" s="14" t="n"/>
      <c r="G65" s="13" t="n"/>
      <c r="H65" s="15" t="n"/>
      <c r="I65" s="13" t="n"/>
    </row>
    <row r="66">
      <c r="A66" s="13" t="n"/>
      <c r="B66" s="13" t="n"/>
      <c r="C66" s="13" t="n"/>
      <c r="D66" s="13" t="n"/>
      <c r="E66" s="13" t="n"/>
      <c r="F66" s="14" t="n"/>
      <c r="G66" s="13" t="n"/>
      <c r="H66" s="15" t="n"/>
      <c r="I66" s="13" t="n"/>
    </row>
    <row r="67">
      <c r="A67" s="13" t="n"/>
      <c r="B67" s="13" t="n"/>
      <c r="C67" s="13" t="n"/>
      <c r="D67" s="13" t="n"/>
      <c r="E67" s="13" t="n"/>
      <c r="F67" s="14" t="n"/>
      <c r="G67" s="13" t="n"/>
      <c r="H67" s="15" t="n"/>
      <c r="I67" s="13" t="n"/>
    </row>
    <row r="68">
      <c r="A68" s="13" t="n"/>
      <c r="B68" s="13" t="n"/>
      <c r="C68" s="13" t="n"/>
      <c r="D68" s="13" t="n"/>
      <c r="E68" s="13" t="n"/>
      <c r="F68" s="14" t="n"/>
      <c r="G68" s="13" t="n"/>
      <c r="H68" s="15" t="n"/>
      <c r="I68" s="13" t="n"/>
    </row>
    <row r="69">
      <c r="A69" s="13" t="n"/>
      <c r="B69" s="13" t="n"/>
      <c r="C69" s="13" t="n"/>
      <c r="D69" s="13" t="n"/>
      <c r="E69" s="13" t="n"/>
      <c r="F69" s="14" t="n"/>
      <c r="G69" s="13" t="n"/>
      <c r="H69" s="15" t="n"/>
      <c r="I69" s="13" t="n"/>
    </row>
    <row r="70">
      <c r="A70" s="13" t="n"/>
      <c r="B70" s="13" t="n"/>
      <c r="C70" s="13" t="n"/>
      <c r="D70" s="13" t="n"/>
      <c r="E70" s="13" t="n"/>
      <c r="F70" s="14" t="n"/>
      <c r="G70" s="13" t="n"/>
      <c r="H70" s="15" t="n"/>
      <c r="I70" s="13" t="n"/>
    </row>
    <row r="71">
      <c r="A71" s="13" t="n"/>
      <c r="B71" s="13" t="n"/>
      <c r="C71" s="13" t="n"/>
      <c r="D71" s="13" t="n"/>
      <c r="E71" s="13" t="n"/>
      <c r="F71" s="14" t="n"/>
      <c r="G71" s="13" t="n"/>
      <c r="H71" s="15" t="n"/>
      <c r="I71" s="13" t="n"/>
    </row>
    <row r="72">
      <c r="A72" s="13" t="n"/>
      <c r="B72" s="13" t="n"/>
      <c r="C72" s="13" t="n"/>
      <c r="D72" s="13" t="n"/>
      <c r="E72" s="13" t="n"/>
      <c r="F72" s="14" t="n"/>
      <c r="G72" s="13" t="n"/>
      <c r="H72" s="15" t="n"/>
      <c r="I72" s="13" t="n"/>
    </row>
    <row r="73">
      <c r="A73" s="13" t="n"/>
      <c r="B73" s="13" t="n"/>
      <c r="C73" s="13" t="n"/>
      <c r="D73" s="13" t="n"/>
      <c r="E73" s="13" t="n"/>
      <c r="F73" s="14" t="n"/>
      <c r="G73" s="13" t="n"/>
      <c r="H73" s="15" t="n"/>
      <c r="I73" s="13" t="n"/>
    </row>
    <row r="74">
      <c r="A74" s="13" t="n"/>
      <c r="B74" s="13" t="n"/>
      <c r="C74" s="13" t="n"/>
      <c r="D74" s="13" t="n"/>
      <c r="E74" s="13" t="n"/>
      <c r="F74" s="14" t="n"/>
      <c r="G74" s="13" t="n"/>
      <c r="H74" s="15" t="n"/>
      <c r="I74" s="13" t="n"/>
    </row>
    <row r="75">
      <c r="A75" s="13" t="n"/>
      <c r="B75" s="13" t="n"/>
      <c r="C75" s="13" t="n"/>
      <c r="D75" s="13" t="n"/>
      <c r="E75" s="13" t="n"/>
      <c r="F75" s="14" t="n"/>
      <c r="G75" s="13" t="n"/>
      <c r="H75" s="15" t="n"/>
      <c r="I75" s="13" t="n"/>
    </row>
    <row r="76">
      <c r="A76" s="13" t="n"/>
      <c r="B76" s="13" t="n"/>
      <c r="C76" s="13" t="n"/>
      <c r="D76" s="13" t="n"/>
      <c r="E76" s="13" t="n"/>
      <c r="F76" s="14" t="n"/>
      <c r="G76" s="13" t="n"/>
      <c r="H76" s="15" t="n"/>
      <c r="I76" s="13" t="n"/>
    </row>
    <row r="77">
      <c r="A77" s="13" t="n"/>
      <c r="B77" s="13" t="n"/>
      <c r="C77" s="13" t="n"/>
      <c r="D77" s="13" t="n"/>
      <c r="E77" s="13" t="n"/>
      <c r="F77" s="14" t="n"/>
      <c r="G77" s="13" t="n"/>
      <c r="H77" s="15" t="n"/>
      <c r="I77" s="13" t="n"/>
    </row>
    <row r="78">
      <c r="A78" s="13" t="n"/>
      <c r="B78" s="13" t="n"/>
      <c r="C78" s="13" t="n"/>
      <c r="D78" s="13" t="n"/>
      <c r="E78" s="13" t="n"/>
      <c r="F78" s="14" t="n"/>
      <c r="G78" s="13" t="n"/>
      <c r="H78" s="15" t="n"/>
      <c r="I78" s="13" t="n"/>
    </row>
    <row r="79">
      <c r="A79" s="13" t="n"/>
      <c r="B79" s="13" t="n"/>
      <c r="C79" s="13" t="n"/>
      <c r="D79" s="13" t="n"/>
      <c r="E79" s="13" t="n"/>
      <c r="F79" s="14" t="n"/>
      <c r="G79" s="13" t="n"/>
      <c r="H79" s="15" t="n"/>
      <c r="I79" s="13" t="n"/>
    </row>
    <row r="80">
      <c r="A80" s="13" t="n"/>
      <c r="B80" s="13" t="n"/>
      <c r="C80" s="13" t="n"/>
      <c r="D80" s="13" t="n"/>
      <c r="E80" s="13" t="n"/>
      <c r="F80" s="14" t="n"/>
      <c r="G80" s="13" t="n"/>
      <c r="H80" s="15" t="n"/>
      <c r="I80" s="13" t="n"/>
    </row>
    <row r="81">
      <c r="A81" s="13" t="n"/>
      <c r="B81" s="13" t="n"/>
      <c r="C81" s="13" t="n"/>
      <c r="D81" s="13" t="n"/>
      <c r="E81" s="13" t="n"/>
      <c r="F81" s="14" t="n"/>
      <c r="G81" s="13" t="n"/>
      <c r="H81" s="15" t="n"/>
      <c r="I81" s="13" t="n"/>
    </row>
    <row r="82">
      <c r="A82" s="13" t="n"/>
      <c r="B82" s="13" t="n"/>
      <c r="C82" s="13" t="n"/>
      <c r="D82" s="13" t="n"/>
      <c r="E82" s="13" t="n"/>
      <c r="F82" s="14" t="n"/>
      <c r="G82" s="13" t="n"/>
      <c r="H82" s="15" t="n"/>
      <c r="I82" s="13" t="n"/>
    </row>
    <row r="83">
      <c r="A83" s="13" t="n"/>
      <c r="B83" s="13" t="n"/>
      <c r="C83" s="13" t="n"/>
      <c r="D83" s="13" t="n"/>
      <c r="E83" s="13" t="n"/>
      <c r="F83" s="14" t="n"/>
      <c r="G83" s="13" t="n"/>
      <c r="H83" s="15" t="n"/>
      <c r="I83" s="13" t="n"/>
    </row>
    <row r="84">
      <c r="A84" s="13" t="n"/>
      <c r="B84" s="13" t="n"/>
      <c r="C84" s="13" t="n"/>
      <c r="D84" s="13" t="n"/>
      <c r="E84" s="13" t="n"/>
      <c r="F84" s="14" t="n"/>
      <c r="G84" s="13" t="n"/>
      <c r="H84" s="15" t="n"/>
      <c r="I84" s="13" t="n"/>
    </row>
    <row r="85">
      <c r="A85" s="13" t="n"/>
      <c r="B85" s="13" t="n"/>
      <c r="C85" s="13" t="n"/>
      <c r="D85" s="13" t="n"/>
      <c r="E85" s="13" t="n"/>
      <c r="F85" s="14" t="n"/>
      <c r="G85" s="13" t="n"/>
      <c r="H85" s="15" t="n"/>
      <c r="I85" s="13" t="n"/>
    </row>
    <row r="86">
      <c r="A86" s="13" t="n"/>
      <c r="B86" s="13" t="n"/>
      <c r="C86" s="13" t="n"/>
      <c r="D86" s="13" t="n"/>
      <c r="E86" s="13" t="n"/>
      <c r="F86" s="14" t="n"/>
      <c r="G86" s="13" t="n"/>
      <c r="H86" s="15" t="n"/>
      <c r="I86" s="13" t="n"/>
    </row>
    <row r="87">
      <c r="A87" s="13" t="n"/>
      <c r="B87" s="13" t="n"/>
      <c r="C87" s="13" t="n"/>
      <c r="D87" s="13" t="n"/>
      <c r="E87" s="13" t="n"/>
      <c r="F87" s="14" t="n"/>
      <c r="G87" s="13" t="n"/>
      <c r="H87" s="15" t="n"/>
      <c r="I87" s="13" t="n"/>
    </row>
    <row r="88">
      <c r="A88" s="13" t="n"/>
      <c r="B88" s="13" t="n"/>
      <c r="C88" s="13" t="n"/>
      <c r="D88" s="13" t="n"/>
      <c r="E88" s="13" t="n"/>
      <c r="F88" s="14" t="n"/>
      <c r="G88" s="13" t="n"/>
      <c r="H88" s="15" t="n"/>
      <c r="I88" s="13" t="n"/>
    </row>
    <row r="89">
      <c r="A89" s="13" t="n"/>
      <c r="B89" s="13" t="n"/>
      <c r="C89" s="13" t="n"/>
      <c r="D89" s="13" t="n"/>
      <c r="E89" s="13" t="n"/>
      <c r="F89" s="14" t="n"/>
      <c r="G89" s="13" t="n"/>
      <c r="H89" s="15" t="n"/>
      <c r="I89" s="13" t="n"/>
    </row>
    <row r="90">
      <c r="A90" s="13" t="n"/>
      <c r="B90" s="13" t="n"/>
      <c r="C90" s="13" t="n"/>
      <c r="D90" s="13" t="n"/>
      <c r="E90" s="13" t="n"/>
      <c r="F90" s="14" t="n"/>
      <c r="G90" s="13" t="n"/>
      <c r="H90" s="15" t="n"/>
      <c r="I90" s="13" t="n"/>
    </row>
    <row r="91">
      <c r="A91" s="13" t="n"/>
      <c r="B91" s="13" t="n"/>
      <c r="C91" s="13" t="n"/>
      <c r="D91" s="13" t="n"/>
      <c r="E91" s="13" t="n"/>
      <c r="F91" s="14" t="n"/>
      <c r="G91" s="13" t="n"/>
      <c r="H91" s="15" t="n"/>
      <c r="I91" s="13" t="n"/>
    </row>
    <row r="92">
      <c r="A92" s="13" t="n"/>
      <c r="B92" s="13" t="n"/>
      <c r="C92" s="13" t="n"/>
      <c r="D92" s="13" t="n"/>
      <c r="E92" s="13" t="n"/>
      <c r="F92" s="14" t="n"/>
      <c r="G92" s="13" t="n"/>
      <c r="H92" s="15" t="n"/>
      <c r="I92" s="13" t="n"/>
    </row>
    <row r="93">
      <c r="A93" s="13" t="n"/>
      <c r="B93" s="13" t="n"/>
      <c r="C93" s="13" t="n"/>
      <c r="D93" s="13" t="n"/>
      <c r="E93" s="13" t="n"/>
      <c r="F93" s="14" t="n"/>
      <c r="G93" s="13" t="n"/>
      <c r="H93" s="15" t="n"/>
      <c r="I93" s="13" t="n"/>
    </row>
    <row r="94">
      <c r="A94" s="13" t="n"/>
      <c r="B94" s="13" t="n"/>
      <c r="C94" s="13" t="n"/>
      <c r="D94" s="13" t="n"/>
      <c r="E94" s="13" t="n"/>
      <c r="F94" s="14" t="n"/>
      <c r="G94" s="13" t="n"/>
      <c r="H94" s="15" t="n"/>
      <c r="I94" s="13" t="n"/>
    </row>
    <row r="95">
      <c r="A95" s="13" t="n"/>
      <c r="B95" s="13" t="n"/>
      <c r="C95" s="13" t="n"/>
      <c r="D95" s="13" t="n"/>
      <c r="E95" s="13" t="n"/>
      <c r="F95" s="14" t="n"/>
      <c r="G95" s="13" t="n"/>
      <c r="H95" s="15" t="n"/>
      <c r="I95" s="13" t="n"/>
    </row>
    <row r="96">
      <c r="A96" s="13" t="n"/>
      <c r="B96" s="13" t="n"/>
      <c r="C96" s="13" t="n"/>
      <c r="D96" s="13" t="n"/>
      <c r="E96" s="13" t="n"/>
      <c r="F96" s="14" t="n"/>
      <c r="G96" s="13" t="n"/>
      <c r="H96" s="15" t="n"/>
      <c r="I96" s="13" t="n"/>
    </row>
    <row r="97">
      <c r="A97" s="13" t="n"/>
      <c r="B97" s="13" t="n"/>
      <c r="C97" s="13" t="n"/>
      <c r="D97" s="13" t="n"/>
      <c r="E97" s="13" t="n"/>
      <c r="F97" s="14" t="n"/>
      <c r="G97" s="13" t="n"/>
      <c r="H97" s="15" t="n"/>
      <c r="I97" s="13" t="n"/>
    </row>
    <row r="98">
      <c r="A98" s="13" t="n"/>
      <c r="B98" s="13" t="n"/>
      <c r="C98" s="13" t="n"/>
      <c r="D98" s="13" t="n"/>
      <c r="E98" s="13" t="n"/>
      <c r="F98" s="14" t="n"/>
      <c r="G98" s="13" t="n"/>
      <c r="H98" s="15" t="n"/>
      <c r="I98" s="13" t="n"/>
    </row>
    <row r="99">
      <c r="A99" s="13" t="n"/>
      <c r="B99" s="13" t="n"/>
      <c r="C99" s="13" t="n"/>
      <c r="D99" s="13" t="n"/>
      <c r="E99" s="13" t="n"/>
      <c r="F99" s="14" t="n"/>
      <c r="G99" s="13" t="n"/>
      <c r="H99" s="15" t="n"/>
      <c r="I99" s="13" t="n"/>
    </row>
    <row r="100">
      <c r="A100" s="13" t="n"/>
      <c r="B100" s="13" t="n"/>
      <c r="C100" s="13" t="n"/>
      <c r="D100" s="13" t="n"/>
      <c r="E100" s="13" t="n"/>
      <c r="F100" s="14" t="n"/>
      <c r="G100" s="13" t="n"/>
      <c r="H100" s="15" t="n"/>
      <c r="I100" s="13" t="n"/>
    </row>
    <row r="101">
      <c r="A101" s="13" t="n"/>
      <c r="B101" s="13" t="n"/>
      <c r="C101" s="13" t="n"/>
      <c r="D101" s="13" t="n"/>
      <c r="E101" s="13" t="n"/>
      <c r="F101" s="14" t="n"/>
      <c r="G101" s="13" t="n"/>
      <c r="H101" s="15" t="n"/>
      <c r="I101" s="13" t="n"/>
    </row>
    <row r="102">
      <c r="A102" s="13" t="n"/>
      <c r="B102" s="13" t="n"/>
      <c r="C102" s="13" t="n"/>
      <c r="D102" s="13" t="n"/>
      <c r="E102" s="13" t="n"/>
      <c r="F102" s="14" t="n"/>
      <c r="G102" s="13" t="n"/>
      <c r="H102" s="15" t="n"/>
      <c r="I102" s="13" t="n"/>
    </row>
    <row r="103">
      <c r="A103" s="13" t="n"/>
      <c r="B103" s="13" t="n"/>
      <c r="C103" s="13" t="n"/>
      <c r="D103" s="13" t="n"/>
      <c r="E103" s="13" t="n"/>
      <c r="F103" s="14" t="n"/>
      <c r="G103" s="13" t="n"/>
      <c r="H103" s="15" t="n"/>
      <c r="I103" s="13" t="n"/>
    </row>
    <row r="104">
      <c r="A104" s="13" t="n"/>
      <c r="B104" s="13" t="n"/>
      <c r="C104" s="13" t="n"/>
      <c r="D104" s="13" t="n"/>
      <c r="E104" s="13" t="n"/>
      <c r="F104" s="14" t="n"/>
      <c r="G104" s="13" t="n"/>
      <c r="H104" s="15" t="n"/>
      <c r="I104" s="13" t="n"/>
    </row>
    <row r="105">
      <c r="A105" s="13" t="n"/>
      <c r="B105" s="13" t="n"/>
      <c r="C105" s="13" t="n"/>
      <c r="D105" s="13" t="n"/>
      <c r="E105" s="13" t="n"/>
      <c r="F105" s="14" t="n"/>
      <c r="G105" s="13" t="n"/>
      <c r="H105" s="15" t="n"/>
      <c r="I105" s="13" t="n"/>
    </row>
    <row r="106">
      <c r="A106" s="13" t="n"/>
      <c r="B106" s="13" t="n"/>
      <c r="C106" s="13" t="n"/>
      <c r="D106" s="13" t="n"/>
      <c r="E106" s="13" t="n"/>
      <c r="F106" s="14" t="n"/>
      <c r="G106" s="13" t="n"/>
      <c r="H106" s="15" t="n"/>
      <c r="I106" s="13" t="n"/>
    </row>
    <row r="107">
      <c r="A107" s="13" t="n"/>
      <c r="B107" s="13" t="n"/>
      <c r="C107" s="13" t="n"/>
      <c r="D107" s="13" t="n"/>
      <c r="E107" s="13" t="n"/>
      <c r="F107" s="14" t="n"/>
      <c r="G107" s="13" t="n"/>
      <c r="H107" s="15" t="n"/>
      <c r="I107" s="13" t="n"/>
    </row>
    <row r="108">
      <c r="A108" s="13" t="n"/>
      <c r="B108" s="13" t="n"/>
      <c r="C108" s="13" t="n"/>
      <c r="D108" s="13" t="n"/>
      <c r="E108" s="13" t="n"/>
      <c r="F108" s="14" t="n"/>
      <c r="G108" s="13" t="n"/>
      <c r="H108" s="15" t="n"/>
      <c r="I108" s="13" t="n"/>
    </row>
    <row r="109">
      <c r="A109" s="13" t="n"/>
      <c r="B109" s="13" t="n"/>
      <c r="C109" s="13" t="n"/>
      <c r="D109" s="13" t="n"/>
      <c r="E109" s="13" t="n"/>
      <c r="F109" s="14" t="n"/>
      <c r="G109" s="13" t="n"/>
      <c r="H109" s="15" t="n"/>
      <c r="I109" s="13" t="n"/>
    </row>
    <row r="110">
      <c r="A110" s="13" t="n"/>
      <c r="B110" s="13" t="n"/>
      <c r="C110" s="13" t="n"/>
      <c r="D110" s="13" t="n"/>
      <c r="E110" s="13" t="n"/>
      <c r="F110" s="14" t="n"/>
      <c r="G110" s="13" t="n"/>
      <c r="H110" s="15" t="n"/>
      <c r="I110" s="13" t="n"/>
    </row>
    <row r="111">
      <c r="A111" s="13" t="n"/>
      <c r="B111" s="13" t="n"/>
      <c r="C111" s="13" t="n"/>
      <c r="D111" s="13" t="n"/>
      <c r="E111" s="13" t="n"/>
      <c r="F111" s="14" t="n"/>
      <c r="G111" s="13" t="n"/>
      <c r="H111" s="15" t="n"/>
      <c r="I111" s="13" t="n"/>
    </row>
    <row r="112">
      <c r="A112" s="13" t="n"/>
      <c r="B112" s="13" t="n"/>
      <c r="C112" s="13" t="n"/>
      <c r="D112" s="13" t="n"/>
      <c r="E112" s="13" t="n"/>
      <c r="F112" s="14" t="n"/>
      <c r="G112" s="13" t="n"/>
      <c r="H112" s="15" t="n"/>
      <c r="I112" s="13" t="n"/>
    </row>
    <row r="113">
      <c r="A113" s="13" t="n"/>
      <c r="B113" s="13" t="n"/>
      <c r="C113" s="13" t="n"/>
      <c r="D113" s="13" t="n"/>
      <c r="E113" s="13" t="n"/>
      <c r="F113" s="14" t="n"/>
      <c r="G113" s="13" t="n"/>
      <c r="H113" s="15" t="n"/>
      <c r="I113" s="13" t="n"/>
    </row>
    <row r="114">
      <c r="A114" s="13" t="n"/>
      <c r="B114" s="13" t="n"/>
      <c r="C114" s="13" t="n"/>
      <c r="D114" s="13" t="n"/>
      <c r="E114" s="13" t="n"/>
      <c r="F114" s="14" t="n"/>
      <c r="G114" s="13" t="n"/>
      <c r="H114" s="15" t="n"/>
      <c r="I114" s="13" t="n"/>
    </row>
    <row r="115">
      <c r="A115" s="13" t="n"/>
      <c r="B115" s="13" t="n"/>
      <c r="C115" s="13" t="n"/>
      <c r="D115" s="13" t="n"/>
      <c r="E115" s="13" t="n"/>
      <c r="F115" s="14" t="n"/>
      <c r="G115" s="13" t="n"/>
      <c r="H115" s="15" t="n"/>
      <c r="I115" s="13" t="n"/>
    </row>
    <row r="116">
      <c r="A116" s="13" t="n"/>
      <c r="B116" s="13" t="n"/>
      <c r="C116" s="13" t="n"/>
      <c r="D116" s="13" t="n"/>
      <c r="E116" s="13" t="n"/>
      <c r="F116" s="14" t="n"/>
      <c r="G116" s="13" t="n"/>
      <c r="H116" s="15" t="n"/>
      <c r="I116" s="13" t="n"/>
    </row>
    <row r="117">
      <c r="A117" s="13" t="n"/>
      <c r="B117" s="13" t="n"/>
      <c r="C117" s="13" t="n"/>
      <c r="D117" s="13" t="n"/>
      <c r="E117" s="13" t="n"/>
      <c r="F117" s="14" t="n"/>
      <c r="G117" s="13" t="n"/>
      <c r="H117" s="15" t="n"/>
      <c r="I117" s="13" t="n"/>
    </row>
    <row r="118">
      <c r="A118" s="13" t="n"/>
      <c r="B118" s="13" t="n"/>
      <c r="C118" s="13" t="n"/>
      <c r="D118" s="13" t="n"/>
      <c r="E118" s="13" t="n"/>
      <c r="F118" s="14" t="n"/>
      <c r="G118" s="13" t="n"/>
      <c r="H118" s="15" t="n"/>
      <c r="I118" s="13" t="n"/>
    </row>
    <row r="119">
      <c r="A119" s="13" t="n"/>
      <c r="B119" s="13" t="n"/>
      <c r="C119" s="13" t="n"/>
      <c r="D119" s="13" t="n"/>
      <c r="E119" s="13" t="n"/>
      <c r="F119" s="14" t="n"/>
      <c r="G119" s="13" t="n"/>
      <c r="H119" s="15" t="n"/>
      <c r="I119" s="13" t="n"/>
    </row>
    <row r="120">
      <c r="A120" s="13" t="n"/>
      <c r="B120" s="13" t="n"/>
      <c r="C120" s="13" t="n"/>
      <c r="D120" s="13" t="n"/>
      <c r="E120" s="13" t="n"/>
      <c r="F120" s="14" t="n"/>
      <c r="G120" s="13" t="n"/>
      <c r="H120" s="15" t="n"/>
      <c r="I120" s="13" t="n"/>
    </row>
    <row r="121">
      <c r="A121" s="13" t="n"/>
      <c r="B121" s="13" t="n"/>
      <c r="C121" s="13" t="n"/>
      <c r="D121" s="13" t="n"/>
      <c r="E121" s="13" t="n"/>
      <c r="F121" s="14" t="n"/>
      <c r="G121" s="13" t="n"/>
      <c r="H121" s="15" t="n"/>
      <c r="I121" s="13" t="n"/>
    </row>
  </sheetData>
  <dataValidations count="2">
    <dataValidation sqref="C3:C121" showDropDown="0" showInputMessage="0" showErrorMessage="0" allowBlank="1" errorTitle="入力エラー" error="リストから選んでください" type="list">
      <formula1>"透明ジェル,カラージェル,ラメ入り,マグネットネイル,マニキュア,その他"</formula1>
    </dataValidation>
    <dataValidation sqref="G3:G121" showDropDown="0" showInputMessage="0" showErrorMessage="0" allowBlank="1" errorTitle="入力エラー" error="リストから選んでください" type="list">
      <formula1>"未配列,縦配列,横配列,斜め配列"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11" customWidth="1" min="4" max="4"/>
    <col width="8" customWidth="1" min="5" max="5"/>
    <col width="11" customWidth="1" min="6" max="6"/>
    <col width="12" customWidth="1" min="7" max="7"/>
    <col width="13" customWidth="1" min="8" max="8"/>
    <col width="10" customWidth="1" min="9" max="9"/>
    <col width="12" customWidth="1" min="10" max="10"/>
    <col width="32" customWidth="1" min="11" max="11"/>
  </cols>
  <sheetData>
    <row r="1" ht="32" customHeight="1">
      <c r="A1" s="9" t="inlineStr">
        <is>
          <t>測定ID</t>
        </is>
      </c>
      <c r="B1" s="9" t="inlineStr">
        <is>
          <t>測定日</t>
        </is>
      </c>
      <c r="C1" s="9" t="inlineStr">
        <is>
          <t>装置</t>
        </is>
      </c>
      <c r="D1" s="9" t="inlineStr">
        <is>
          <t>試料ID</t>
        </is>
      </c>
      <c r="E1" s="9" t="inlineStr">
        <is>
          <t>反復No</t>
        </is>
      </c>
      <c r="F1" s="9" t="inlineStr">
        <is>
          <t>質量 m (g)</t>
        </is>
      </c>
      <c r="G1" s="9" t="inlineStr">
        <is>
          <t>偏向角 θ (°)</t>
        </is>
      </c>
      <c r="H1" s="9" t="inlineStr">
        <is>
          <t>磁気力 F (mN)</t>
        </is>
      </c>
      <c r="I1" s="9" t="inlineStr">
        <is>
          <t>45°判定</t>
        </is>
      </c>
      <c r="J1" s="9" t="inlineStr">
        <is>
          <t>測定者</t>
        </is>
      </c>
      <c r="K1" s="9" t="inlineStr">
        <is>
          <t>備考</t>
        </is>
      </c>
    </row>
    <row r="2">
      <c r="A2" s="10" t="inlineStr">
        <is>
          <t>D-0001</t>
        </is>
      </c>
      <c r="B2" s="11" t="n">
        <v>46056</v>
      </c>
      <c r="C2" s="10" t="inlineStr">
        <is>
          <t>3T</t>
        </is>
      </c>
      <c r="D2" s="10" t="inlineStr">
        <is>
          <t>S-01</t>
        </is>
      </c>
      <c r="E2" s="10" t="n">
        <v>1</v>
      </c>
      <c r="F2" s="12" t="n">
        <v>0.08500000000000001</v>
      </c>
      <c r="G2" s="16" t="n">
        <v>18.4</v>
      </c>
      <c r="H2" s="17">
        <f>IF(OR(F2="",G2=""),"",ROUND(F2*9.80665*TAN(RADIANS(G2)),3))</f>
        <v/>
      </c>
      <c r="I2" s="18">
        <f>IF(G2="","",IF(G2&lt;45,"適合","要確認"))</f>
        <v/>
      </c>
      <c r="J2" s="10" t="inlineStr">
        <is>
          <t>山田</t>
        </is>
      </c>
      <c r="K2" s="10" t="inlineStr">
        <is>
          <t>ボア入口 ∂B/∂z 最大位置</t>
        </is>
      </c>
    </row>
    <row r="3">
      <c r="A3" s="13" t="n"/>
      <c r="B3" s="14" t="n"/>
      <c r="C3" s="13" t="n"/>
      <c r="D3" s="13" t="n"/>
      <c r="E3" s="13" t="n"/>
      <c r="F3" s="15" t="n"/>
      <c r="G3" s="19" t="n"/>
      <c r="H3" s="17">
        <f>IF(OR(F3="",G3=""),"",ROUND(F3*9.80665*TAN(RADIANS(G3)),3))</f>
        <v/>
      </c>
      <c r="I3" s="18">
        <f>IF(G3="","",IF(G3&lt;45,"適合","要確認"))</f>
        <v/>
      </c>
      <c r="J3" s="13" t="n"/>
      <c r="K3" s="13" t="n"/>
    </row>
    <row r="4">
      <c r="A4" s="13" t="n"/>
      <c r="B4" s="14" t="n"/>
      <c r="C4" s="13" t="n"/>
      <c r="D4" s="13" t="n"/>
      <c r="E4" s="13" t="n"/>
      <c r="F4" s="15" t="n"/>
      <c r="G4" s="19" t="n"/>
      <c r="H4" s="17">
        <f>IF(OR(F4="",G4=""),"",ROUND(F4*9.80665*TAN(RADIANS(G4)),3))</f>
        <v/>
      </c>
      <c r="I4" s="18">
        <f>IF(G4="","",IF(G4&lt;45,"適合","要確認"))</f>
        <v/>
      </c>
      <c r="J4" s="13" t="n"/>
      <c r="K4" s="13" t="n"/>
    </row>
    <row r="5">
      <c r="A5" s="13" t="n"/>
      <c r="B5" s="14" t="n"/>
      <c r="C5" s="13" t="n"/>
      <c r="D5" s="13" t="n"/>
      <c r="E5" s="13" t="n"/>
      <c r="F5" s="15" t="n"/>
      <c r="G5" s="19" t="n"/>
      <c r="H5" s="17">
        <f>IF(OR(F5="",G5=""),"",ROUND(F5*9.80665*TAN(RADIANS(G5)),3))</f>
        <v/>
      </c>
      <c r="I5" s="18">
        <f>IF(G5="","",IF(G5&lt;45,"適合","要確認"))</f>
        <v/>
      </c>
      <c r="J5" s="13" t="n"/>
      <c r="K5" s="13" t="n"/>
    </row>
    <row r="6">
      <c r="A6" s="13" t="n"/>
      <c r="B6" s="14" t="n"/>
      <c r="C6" s="13" t="n"/>
      <c r="D6" s="13" t="n"/>
      <c r="E6" s="13" t="n"/>
      <c r="F6" s="15" t="n"/>
      <c r="G6" s="19" t="n"/>
      <c r="H6" s="17">
        <f>IF(OR(F6="",G6=""),"",ROUND(F6*9.80665*TAN(RADIANS(G6)),3))</f>
        <v/>
      </c>
      <c r="I6" s="18">
        <f>IF(G6="","",IF(G6&lt;45,"適合","要確認"))</f>
        <v/>
      </c>
      <c r="J6" s="13" t="n"/>
      <c r="K6" s="13" t="n"/>
    </row>
    <row r="7">
      <c r="A7" s="13" t="n"/>
      <c r="B7" s="14" t="n"/>
      <c r="C7" s="13" t="n"/>
      <c r="D7" s="13" t="n"/>
      <c r="E7" s="13" t="n"/>
      <c r="F7" s="15" t="n"/>
      <c r="G7" s="19" t="n"/>
      <c r="H7" s="17">
        <f>IF(OR(F7="",G7=""),"",ROUND(F7*9.80665*TAN(RADIANS(G7)),3))</f>
        <v/>
      </c>
      <c r="I7" s="18">
        <f>IF(G7="","",IF(G7&lt;45,"適合","要確認"))</f>
        <v/>
      </c>
      <c r="J7" s="13" t="n"/>
      <c r="K7" s="13" t="n"/>
    </row>
    <row r="8">
      <c r="A8" s="13" t="n"/>
      <c r="B8" s="14" t="n"/>
      <c r="C8" s="13" t="n"/>
      <c r="D8" s="13" t="n"/>
      <c r="E8" s="13" t="n"/>
      <c r="F8" s="15" t="n"/>
      <c r="G8" s="19" t="n"/>
      <c r="H8" s="17">
        <f>IF(OR(F8="",G8=""),"",ROUND(F8*9.80665*TAN(RADIANS(G8)),3))</f>
        <v/>
      </c>
      <c r="I8" s="18">
        <f>IF(G8="","",IF(G8&lt;45,"適合","要確認"))</f>
        <v/>
      </c>
      <c r="J8" s="13" t="n"/>
      <c r="K8" s="13" t="n"/>
    </row>
    <row r="9">
      <c r="A9" s="13" t="n"/>
      <c r="B9" s="14" t="n"/>
      <c r="C9" s="13" t="n"/>
      <c r="D9" s="13" t="n"/>
      <c r="E9" s="13" t="n"/>
      <c r="F9" s="15" t="n"/>
      <c r="G9" s="19" t="n"/>
      <c r="H9" s="17">
        <f>IF(OR(F9="",G9=""),"",ROUND(F9*9.80665*TAN(RADIANS(G9)),3))</f>
        <v/>
      </c>
      <c r="I9" s="18">
        <f>IF(G9="","",IF(G9&lt;45,"適合","要確認"))</f>
        <v/>
      </c>
      <c r="J9" s="13" t="n"/>
      <c r="K9" s="13" t="n"/>
    </row>
    <row r="10">
      <c r="A10" s="13" t="n"/>
      <c r="B10" s="14" t="n"/>
      <c r="C10" s="13" t="n"/>
      <c r="D10" s="13" t="n"/>
      <c r="E10" s="13" t="n"/>
      <c r="F10" s="15" t="n"/>
      <c r="G10" s="19" t="n"/>
      <c r="H10" s="17">
        <f>IF(OR(F10="",G10=""),"",ROUND(F10*9.80665*TAN(RADIANS(G10)),3))</f>
        <v/>
      </c>
      <c r="I10" s="18">
        <f>IF(G10="","",IF(G10&lt;45,"適合","要確認"))</f>
        <v/>
      </c>
      <c r="J10" s="13" t="n"/>
      <c r="K10" s="13" t="n"/>
    </row>
    <row r="11">
      <c r="A11" s="13" t="n"/>
      <c r="B11" s="14" t="n"/>
      <c r="C11" s="13" t="n"/>
      <c r="D11" s="13" t="n"/>
      <c r="E11" s="13" t="n"/>
      <c r="F11" s="15" t="n"/>
      <c r="G11" s="19" t="n"/>
      <c r="H11" s="17">
        <f>IF(OR(F11="",G11=""),"",ROUND(F11*9.80665*TAN(RADIANS(G11)),3))</f>
        <v/>
      </c>
      <c r="I11" s="18">
        <f>IF(G11="","",IF(G11&lt;45,"適合","要確認"))</f>
        <v/>
      </c>
      <c r="J11" s="13" t="n"/>
      <c r="K11" s="13" t="n"/>
    </row>
    <row r="12">
      <c r="A12" s="13" t="n"/>
      <c r="B12" s="14" t="n"/>
      <c r="C12" s="13" t="n"/>
      <c r="D12" s="13" t="n"/>
      <c r="E12" s="13" t="n"/>
      <c r="F12" s="15" t="n"/>
      <c r="G12" s="19" t="n"/>
      <c r="H12" s="17">
        <f>IF(OR(F12="",G12=""),"",ROUND(F12*9.80665*TAN(RADIANS(G12)),3))</f>
        <v/>
      </c>
      <c r="I12" s="18">
        <f>IF(G12="","",IF(G12&lt;45,"適合","要確認"))</f>
        <v/>
      </c>
      <c r="J12" s="13" t="n"/>
      <c r="K12" s="13" t="n"/>
    </row>
    <row r="13">
      <c r="A13" s="13" t="n"/>
      <c r="B13" s="14" t="n"/>
      <c r="C13" s="13" t="n"/>
      <c r="D13" s="13" t="n"/>
      <c r="E13" s="13" t="n"/>
      <c r="F13" s="15" t="n"/>
      <c r="G13" s="19" t="n"/>
      <c r="H13" s="17">
        <f>IF(OR(F13="",G13=""),"",ROUND(F13*9.80665*TAN(RADIANS(G13)),3))</f>
        <v/>
      </c>
      <c r="I13" s="18">
        <f>IF(G13="","",IF(G13&lt;45,"適合","要確認"))</f>
        <v/>
      </c>
      <c r="J13" s="13" t="n"/>
      <c r="K13" s="13" t="n"/>
    </row>
    <row r="14">
      <c r="A14" s="13" t="n"/>
      <c r="B14" s="14" t="n"/>
      <c r="C14" s="13" t="n"/>
      <c r="D14" s="13" t="n"/>
      <c r="E14" s="13" t="n"/>
      <c r="F14" s="15" t="n"/>
      <c r="G14" s="19" t="n"/>
      <c r="H14" s="17">
        <f>IF(OR(F14="",G14=""),"",ROUND(F14*9.80665*TAN(RADIANS(G14)),3))</f>
        <v/>
      </c>
      <c r="I14" s="18">
        <f>IF(G14="","",IF(G14&lt;45,"適合","要確認"))</f>
        <v/>
      </c>
      <c r="J14" s="13" t="n"/>
      <c r="K14" s="13" t="n"/>
    </row>
    <row r="15">
      <c r="A15" s="13" t="n"/>
      <c r="B15" s="14" t="n"/>
      <c r="C15" s="13" t="n"/>
      <c r="D15" s="13" t="n"/>
      <c r="E15" s="13" t="n"/>
      <c r="F15" s="15" t="n"/>
      <c r="G15" s="19" t="n"/>
      <c r="H15" s="17">
        <f>IF(OR(F15="",G15=""),"",ROUND(F15*9.80665*TAN(RADIANS(G15)),3))</f>
        <v/>
      </c>
      <c r="I15" s="18">
        <f>IF(G15="","",IF(G15&lt;45,"適合","要確認"))</f>
        <v/>
      </c>
      <c r="J15" s="13" t="n"/>
      <c r="K15" s="13" t="n"/>
    </row>
    <row r="16">
      <c r="A16" s="13" t="n"/>
      <c r="B16" s="14" t="n"/>
      <c r="C16" s="13" t="n"/>
      <c r="D16" s="13" t="n"/>
      <c r="E16" s="13" t="n"/>
      <c r="F16" s="15" t="n"/>
      <c r="G16" s="19" t="n"/>
      <c r="H16" s="17">
        <f>IF(OR(F16="",G16=""),"",ROUND(F16*9.80665*TAN(RADIANS(G16)),3))</f>
        <v/>
      </c>
      <c r="I16" s="18">
        <f>IF(G16="","",IF(G16&lt;45,"適合","要確認"))</f>
        <v/>
      </c>
      <c r="J16" s="13" t="n"/>
      <c r="K16" s="13" t="n"/>
    </row>
    <row r="17">
      <c r="A17" s="13" t="n"/>
      <c r="B17" s="14" t="n"/>
      <c r="C17" s="13" t="n"/>
      <c r="D17" s="13" t="n"/>
      <c r="E17" s="13" t="n"/>
      <c r="F17" s="15" t="n"/>
      <c r="G17" s="19" t="n"/>
      <c r="H17" s="17">
        <f>IF(OR(F17="",G17=""),"",ROUND(F17*9.80665*TAN(RADIANS(G17)),3))</f>
        <v/>
      </c>
      <c r="I17" s="18">
        <f>IF(G17="","",IF(G17&lt;45,"適合","要確認"))</f>
        <v/>
      </c>
      <c r="J17" s="13" t="n"/>
      <c r="K17" s="13" t="n"/>
    </row>
    <row r="18">
      <c r="A18" s="13" t="n"/>
      <c r="B18" s="14" t="n"/>
      <c r="C18" s="13" t="n"/>
      <c r="D18" s="13" t="n"/>
      <c r="E18" s="13" t="n"/>
      <c r="F18" s="15" t="n"/>
      <c r="G18" s="19" t="n"/>
      <c r="H18" s="17">
        <f>IF(OR(F18="",G18=""),"",ROUND(F18*9.80665*TAN(RADIANS(G18)),3))</f>
        <v/>
      </c>
      <c r="I18" s="18">
        <f>IF(G18="","",IF(G18&lt;45,"適合","要確認"))</f>
        <v/>
      </c>
      <c r="J18" s="13" t="n"/>
      <c r="K18" s="13" t="n"/>
    </row>
    <row r="19">
      <c r="A19" s="13" t="n"/>
      <c r="B19" s="14" t="n"/>
      <c r="C19" s="13" t="n"/>
      <c r="D19" s="13" t="n"/>
      <c r="E19" s="13" t="n"/>
      <c r="F19" s="15" t="n"/>
      <c r="G19" s="19" t="n"/>
      <c r="H19" s="17">
        <f>IF(OR(F19="",G19=""),"",ROUND(F19*9.80665*TAN(RADIANS(G19)),3))</f>
        <v/>
      </c>
      <c r="I19" s="18">
        <f>IF(G19="","",IF(G19&lt;45,"適合","要確認"))</f>
        <v/>
      </c>
      <c r="J19" s="13" t="n"/>
      <c r="K19" s="13" t="n"/>
    </row>
    <row r="20">
      <c r="A20" s="13" t="n"/>
      <c r="B20" s="14" t="n"/>
      <c r="C20" s="13" t="n"/>
      <c r="D20" s="13" t="n"/>
      <c r="E20" s="13" t="n"/>
      <c r="F20" s="15" t="n"/>
      <c r="G20" s="19" t="n"/>
      <c r="H20" s="17">
        <f>IF(OR(F20="",G20=""),"",ROUND(F20*9.80665*TAN(RADIANS(G20)),3))</f>
        <v/>
      </c>
      <c r="I20" s="18">
        <f>IF(G20="","",IF(G20&lt;45,"適合","要確認"))</f>
        <v/>
      </c>
      <c r="J20" s="13" t="n"/>
      <c r="K20" s="13" t="n"/>
    </row>
    <row r="21">
      <c r="A21" s="13" t="n"/>
      <c r="B21" s="14" t="n"/>
      <c r="C21" s="13" t="n"/>
      <c r="D21" s="13" t="n"/>
      <c r="E21" s="13" t="n"/>
      <c r="F21" s="15" t="n"/>
      <c r="G21" s="19" t="n"/>
      <c r="H21" s="17">
        <f>IF(OR(F21="",G21=""),"",ROUND(F21*9.80665*TAN(RADIANS(G21)),3))</f>
        <v/>
      </c>
      <c r="I21" s="18">
        <f>IF(G21="","",IF(G21&lt;45,"適合","要確認"))</f>
        <v/>
      </c>
      <c r="J21" s="13" t="n"/>
      <c r="K21" s="13" t="n"/>
    </row>
    <row r="22">
      <c r="A22" s="13" t="n"/>
      <c r="B22" s="14" t="n"/>
      <c r="C22" s="13" t="n"/>
      <c r="D22" s="13" t="n"/>
      <c r="E22" s="13" t="n"/>
      <c r="F22" s="15" t="n"/>
      <c r="G22" s="19" t="n"/>
      <c r="H22" s="17">
        <f>IF(OR(F22="",G22=""),"",ROUND(F22*9.80665*TAN(RADIANS(G22)),3))</f>
        <v/>
      </c>
      <c r="I22" s="18">
        <f>IF(G22="","",IF(G22&lt;45,"適合","要確認"))</f>
        <v/>
      </c>
      <c r="J22" s="13" t="n"/>
      <c r="K22" s="13" t="n"/>
    </row>
    <row r="23">
      <c r="A23" s="13" t="n"/>
      <c r="B23" s="14" t="n"/>
      <c r="C23" s="13" t="n"/>
      <c r="D23" s="13" t="n"/>
      <c r="E23" s="13" t="n"/>
      <c r="F23" s="15" t="n"/>
      <c r="G23" s="19" t="n"/>
      <c r="H23" s="17">
        <f>IF(OR(F23="",G23=""),"",ROUND(F23*9.80665*TAN(RADIANS(G23)),3))</f>
        <v/>
      </c>
      <c r="I23" s="18">
        <f>IF(G23="","",IF(G23&lt;45,"適合","要確認"))</f>
        <v/>
      </c>
      <c r="J23" s="13" t="n"/>
      <c r="K23" s="13" t="n"/>
    </row>
    <row r="24">
      <c r="A24" s="13" t="n"/>
      <c r="B24" s="14" t="n"/>
      <c r="C24" s="13" t="n"/>
      <c r="D24" s="13" t="n"/>
      <c r="E24" s="13" t="n"/>
      <c r="F24" s="15" t="n"/>
      <c r="G24" s="19" t="n"/>
      <c r="H24" s="17">
        <f>IF(OR(F24="",G24=""),"",ROUND(F24*9.80665*TAN(RADIANS(G24)),3))</f>
        <v/>
      </c>
      <c r="I24" s="18">
        <f>IF(G24="","",IF(G24&lt;45,"適合","要確認"))</f>
        <v/>
      </c>
      <c r="J24" s="13" t="n"/>
      <c r="K24" s="13" t="n"/>
    </row>
    <row r="25">
      <c r="A25" s="13" t="n"/>
      <c r="B25" s="14" t="n"/>
      <c r="C25" s="13" t="n"/>
      <c r="D25" s="13" t="n"/>
      <c r="E25" s="13" t="n"/>
      <c r="F25" s="15" t="n"/>
      <c r="G25" s="19" t="n"/>
      <c r="H25" s="17">
        <f>IF(OR(F25="",G25=""),"",ROUND(F25*9.80665*TAN(RADIANS(G25)),3))</f>
        <v/>
      </c>
      <c r="I25" s="18">
        <f>IF(G25="","",IF(G25&lt;45,"適合","要確認"))</f>
        <v/>
      </c>
      <c r="J25" s="13" t="n"/>
      <c r="K25" s="13" t="n"/>
    </row>
    <row r="26">
      <c r="A26" s="13" t="n"/>
      <c r="B26" s="14" t="n"/>
      <c r="C26" s="13" t="n"/>
      <c r="D26" s="13" t="n"/>
      <c r="E26" s="13" t="n"/>
      <c r="F26" s="15" t="n"/>
      <c r="G26" s="19" t="n"/>
      <c r="H26" s="17">
        <f>IF(OR(F26="",G26=""),"",ROUND(F26*9.80665*TAN(RADIANS(G26)),3))</f>
        <v/>
      </c>
      <c r="I26" s="18">
        <f>IF(G26="","",IF(G26&lt;45,"適合","要確認"))</f>
        <v/>
      </c>
      <c r="J26" s="13" t="n"/>
      <c r="K26" s="13" t="n"/>
    </row>
    <row r="27">
      <c r="A27" s="13" t="n"/>
      <c r="B27" s="14" t="n"/>
      <c r="C27" s="13" t="n"/>
      <c r="D27" s="13" t="n"/>
      <c r="E27" s="13" t="n"/>
      <c r="F27" s="15" t="n"/>
      <c r="G27" s="19" t="n"/>
      <c r="H27" s="17">
        <f>IF(OR(F27="",G27=""),"",ROUND(F27*9.80665*TAN(RADIANS(G27)),3))</f>
        <v/>
      </c>
      <c r="I27" s="18">
        <f>IF(G27="","",IF(G27&lt;45,"適合","要確認"))</f>
        <v/>
      </c>
      <c r="J27" s="13" t="n"/>
      <c r="K27" s="13" t="n"/>
    </row>
    <row r="28">
      <c r="A28" s="13" t="n"/>
      <c r="B28" s="14" t="n"/>
      <c r="C28" s="13" t="n"/>
      <c r="D28" s="13" t="n"/>
      <c r="E28" s="13" t="n"/>
      <c r="F28" s="15" t="n"/>
      <c r="G28" s="19" t="n"/>
      <c r="H28" s="17">
        <f>IF(OR(F28="",G28=""),"",ROUND(F28*9.80665*TAN(RADIANS(G28)),3))</f>
        <v/>
      </c>
      <c r="I28" s="18">
        <f>IF(G28="","",IF(G28&lt;45,"適合","要確認"))</f>
        <v/>
      </c>
      <c r="J28" s="13" t="n"/>
      <c r="K28" s="13" t="n"/>
    </row>
    <row r="29">
      <c r="A29" s="13" t="n"/>
      <c r="B29" s="14" t="n"/>
      <c r="C29" s="13" t="n"/>
      <c r="D29" s="13" t="n"/>
      <c r="E29" s="13" t="n"/>
      <c r="F29" s="15" t="n"/>
      <c r="G29" s="19" t="n"/>
      <c r="H29" s="17">
        <f>IF(OR(F29="",G29=""),"",ROUND(F29*9.80665*TAN(RADIANS(G29)),3))</f>
        <v/>
      </c>
      <c r="I29" s="18">
        <f>IF(G29="","",IF(G29&lt;45,"適合","要確認"))</f>
        <v/>
      </c>
      <c r="J29" s="13" t="n"/>
      <c r="K29" s="13" t="n"/>
    </row>
    <row r="30">
      <c r="A30" s="13" t="n"/>
      <c r="B30" s="14" t="n"/>
      <c r="C30" s="13" t="n"/>
      <c r="D30" s="13" t="n"/>
      <c r="E30" s="13" t="n"/>
      <c r="F30" s="15" t="n"/>
      <c r="G30" s="19" t="n"/>
      <c r="H30" s="17">
        <f>IF(OR(F30="",G30=""),"",ROUND(F30*9.80665*TAN(RADIANS(G30)),3))</f>
        <v/>
      </c>
      <c r="I30" s="18">
        <f>IF(G30="","",IF(G30&lt;45,"適合","要確認"))</f>
        <v/>
      </c>
      <c r="J30" s="13" t="n"/>
      <c r="K30" s="13" t="n"/>
    </row>
    <row r="31">
      <c r="A31" s="13" t="n"/>
      <c r="B31" s="14" t="n"/>
      <c r="C31" s="13" t="n"/>
      <c r="D31" s="13" t="n"/>
      <c r="E31" s="13" t="n"/>
      <c r="F31" s="15" t="n"/>
      <c r="G31" s="19" t="n"/>
      <c r="H31" s="17">
        <f>IF(OR(F31="",G31=""),"",ROUND(F31*9.80665*TAN(RADIANS(G31)),3))</f>
        <v/>
      </c>
      <c r="I31" s="18">
        <f>IF(G31="","",IF(G31&lt;45,"適合","要確認"))</f>
        <v/>
      </c>
      <c r="J31" s="13" t="n"/>
      <c r="K31" s="13" t="n"/>
    </row>
    <row r="32">
      <c r="A32" s="13" t="n"/>
      <c r="B32" s="14" t="n"/>
      <c r="C32" s="13" t="n"/>
      <c r="D32" s="13" t="n"/>
      <c r="E32" s="13" t="n"/>
      <c r="F32" s="15" t="n"/>
      <c r="G32" s="19" t="n"/>
      <c r="H32" s="17">
        <f>IF(OR(F32="",G32=""),"",ROUND(F32*9.80665*TAN(RADIANS(G32)),3))</f>
        <v/>
      </c>
      <c r="I32" s="18">
        <f>IF(G32="","",IF(G32&lt;45,"適合","要確認"))</f>
        <v/>
      </c>
      <c r="J32" s="13" t="n"/>
      <c r="K32" s="13" t="n"/>
    </row>
    <row r="33">
      <c r="A33" s="13" t="n"/>
      <c r="B33" s="14" t="n"/>
      <c r="C33" s="13" t="n"/>
      <c r="D33" s="13" t="n"/>
      <c r="E33" s="13" t="n"/>
      <c r="F33" s="15" t="n"/>
      <c r="G33" s="19" t="n"/>
      <c r="H33" s="17">
        <f>IF(OR(F33="",G33=""),"",ROUND(F33*9.80665*TAN(RADIANS(G33)),3))</f>
        <v/>
      </c>
      <c r="I33" s="18">
        <f>IF(G33="","",IF(G33&lt;45,"適合","要確認"))</f>
        <v/>
      </c>
      <c r="J33" s="13" t="n"/>
      <c r="K33" s="13" t="n"/>
    </row>
    <row r="34">
      <c r="A34" s="13" t="n"/>
      <c r="B34" s="14" t="n"/>
      <c r="C34" s="13" t="n"/>
      <c r="D34" s="13" t="n"/>
      <c r="E34" s="13" t="n"/>
      <c r="F34" s="15" t="n"/>
      <c r="G34" s="19" t="n"/>
      <c r="H34" s="17">
        <f>IF(OR(F34="",G34=""),"",ROUND(F34*9.80665*TAN(RADIANS(G34)),3))</f>
        <v/>
      </c>
      <c r="I34" s="18">
        <f>IF(G34="","",IF(G34&lt;45,"適合","要確認"))</f>
        <v/>
      </c>
      <c r="J34" s="13" t="n"/>
      <c r="K34" s="13" t="n"/>
    </row>
    <row r="35">
      <c r="A35" s="13" t="n"/>
      <c r="B35" s="14" t="n"/>
      <c r="C35" s="13" t="n"/>
      <c r="D35" s="13" t="n"/>
      <c r="E35" s="13" t="n"/>
      <c r="F35" s="15" t="n"/>
      <c r="G35" s="19" t="n"/>
      <c r="H35" s="17">
        <f>IF(OR(F35="",G35=""),"",ROUND(F35*9.80665*TAN(RADIANS(G35)),3))</f>
        <v/>
      </c>
      <c r="I35" s="18">
        <f>IF(G35="","",IF(G35&lt;45,"適合","要確認"))</f>
        <v/>
      </c>
      <c r="J35" s="13" t="n"/>
      <c r="K35" s="13" t="n"/>
    </row>
    <row r="36">
      <c r="A36" s="13" t="n"/>
      <c r="B36" s="14" t="n"/>
      <c r="C36" s="13" t="n"/>
      <c r="D36" s="13" t="n"/>
      <c r="E36" s="13" t="n"/>
      <c r="F36" s="15" t="n"/>
      <c r="G36" s="19" t="n"/>
      <c r="H36" s="17">
        <f>IF(OR(F36="",G36=""),"",ROUND(F36*9.80665*TAN(RADIANS(G36)),3))</f>
        <v/>
      </c>
      <c r="I36" s="18">
        <f>IF(G36="","",IF(G36&lt;45,"適合","要確認"))</f>
        <v/>
      </c>
      <c r="J36" s="13" t="n"/>
      <c r="K36" s="13" t="n"/>
    </row>
    <row r="37">
      <c r="A37" s="13" t="n"/>
      <c r="B37" s="14" t="n"/>
      <c r="C37" s="13" t="n"/>
      <c r="D37" s="13" t="n"/>
      <c r="E37" s="13" t="n"/>
      <c r="F37" s="15" t="n"/>
      <c r="G37" s="19" t="n"/>
      <c r="H37" s="17">
        <f>IF(OR(F37="",G37=""),"",ROUND(F37*9.80665*TAN(RADIANS(G37)),3))</f>
        <v/>
      </c>
      <c r="I37" s="18">
        <f>IF(G37="","",IF(G37&lt;45,"適合","要確認"))</f>
        <v/>
      </c>
      <c r="J37" s="13" t="n"/>
      <c r="K37" s="13" t="n"/>
    </row>
    <row r="38">
      <c r="A38" s="13" t="n"/>
      <c r="B38" s="14" t="n"/>
      <c r="C38" s="13" t="n"/>
      <c r="D38" s="13" t="n"/>
      <c r="E38" s="13" t="n"/>
      <c r="F38" s="15" t="n"/>
      <c r="G38" s="19" t="n"/>
      <c r="H38" s="17">
        <f>IF(OR(F38="",G38=""),"",ROUND(F38*9.80665*TAN(RADIANS(G38)),3))</f>
        <v/>
      </c>
      <c r="I38" s="18">
        <f>IF(G38="","",IF(G38&lt;45,"適合","要確認"))</f>
        <v/>
      </c>
      <c r="J38" s="13" t="n"/>
      <c r="K38" s="13" t="n"/>
    </row>
    <row r="39">
      <c r="A39" s="13" t="n"/>
      <c r="B39" s="14" t="n"/>
      <c r="C39" s="13" t="n"/>
      <c r="D39" s="13" t="n"/>
      <c r="E39" s="13" t="n"/>
      <c r="F39" s="15" t="n"/>
      <c r="G39" s="19" t="n"/>
      <c r="H39" s="17">
        <f>IF(OR(F39="",G39=""),"",ROUND(F39*9.80665*TAN(RADIANS(G39)),3))</f>
        <v/>
      </c>
      <c r="I39" s="18">
        <f>IF(G39="","",IF(G39&lt;45,"適合","要確認"))</f>
        <v/>
      </c>
      <c r="J39" s="13" t="n"/>
      <c r="K39" s="13" t="n"/>
    </row>
    <row r="40">
      <c r="A40" s="13" t="n"/>
      <c r="B40" s="14" t="n"/>
      <c r="C40" s="13" t="n"/>
      <c r="D40" s="13" t="n"/>
      <c r="E40" s="13" t="n"/>
      <c r="F40" s="15" t="n"/>
      <c r="G40" s="19" t="n"/>
      <c r="H40" s="17">
        <f>IF(OR(F40="",G40=""),"",ROUND(F40*9.80665*TAN(RADIANS(G40)),3))</f>
        <v/>
      </c>
      <c r="I40" s="18">
        <f>IF(G40="","",IF(G40&lt;45,"適合","要確認"))</f>
        <v/>
      </c>
      <c r="J40" s="13" t="n"/>
      <c r="K40" s="13" t="n"/>
    </row>
    <row r="41">
      <c r="A41" s="13" t="n"/>
      <c r="B41" s="14" t="n"/>
      <c r="C41" s="13" t="n"/>
      <c r="D41" s="13" t="n"/>
      <c r="E41" s="13" t="n"/>
      <c r="F41" s="15" t="n"/>
      <c r="G41" s="19" t="n"/>
      <c r="H41" s="17">
        <f>IF(OR(F41="",G41=""),"",ROUND(F41*9.80665*TAN(RADIANS(G41)),3))</f>
        <v/>
      </c>
      <c r="I41" s="18">
        <f>IF(G41="","",IF(G41&lt;45,"適合","要確認"))</f>
        <v/>
      </c>
      <c r="J41" s="13" t="n"/>
      <c r="K41" s="13" t="n"/>
    </row>
    <row r="42">
      <c r="A42" s="13" t="n"/>
      <c r="B42" s="14" t="n"/>
      <c r="C42" s="13" t="n"/>
      <c r="D42" s="13" t="n"/>
      <c r="E42" s="13" t="n"/>
      <c r="F42" s="15" t="n"/>
      <c r="G42" s="19" t="n"/>
      <c r="H42" s="17">
        <f>IF(OR(F42="",G42=""),"",ROUND(F42*9.80665*TAN(RADIANS(G42)),3))</f>
        <v/>
      </c>
      <c r="I42" s="18">
        <f>IF(G42="","",IF(G42&lt;45,"適合","要確認"))</f>
        <v/>
      </c>
      <c r="J42" s="13" t="n"/>
      <c r="K42" s="13" t="n"/>
    </row>
    <row r="43">
      <c r="A43" s="13" t="n"/>
      <c r="B43" s="14" t="n"/>
      <c r="C43" s="13" t="n"/>
      <c r="D43" s="13" t="n"/>
      <c r="E43" s="13" t="n"/>
      <c r="F43" s="15" t="n"/>
      <c r="G43" s="19" t="n"/>
      <c r="H43" s="17">
        <f>IF(OR(F43="",G43=""),"",ROUND(F43*9.80665*TAN(RADIANS(G43)),3))</f>
        <v/>
      </c>
      <c r="I43" s="18">
        <f>IF(G43="","",IF(G43&lt;45,"適合","要確認"))</f>
        <v/>
      </c>
      <c r="J43" s="13" t="n"/>
      <c r="K43" s="13" t="n"/>
    </row>
    <row r="44">
      <c r="A44" s="13" t="n"/>
      <c r="B44" s="14" t="n"/>
      <c r="C44" s="13" t="n"/>
      <c r="D44" s="13" t="n"/>
      <c r="E44" s="13" t="n"/>
      <c r="F44" s="15" t="n"/>
      <c r="G44" s="19" t="n"/>
      <c r="H44" s="17">
        <f>IF(OR(F44="",G44=""),"",ROUND(F44*9.80665*TAN(RADIANS(G44)),3))</f>
        <v/>
      </c>
      <c r="I44" s="18">
        <f>IF(G44="","",IF(G44&lt;45,"適合","要確認"))</f>
        <v/>
      </c>
      <c r="J44" s="13" t="n"/>
      <c r="K44" s="13" t="n"/>
    </row>
    <row r="45">
      <c r="A45" s="13" t="n"/>
      <c r="B45" s="14" t="n"/>
      <c r="C45" s="13" t="n"/>
      <c r="D45" s="13" t="n"/>
      <c r="E45" s="13" t="n"/>
      <c r="F45" s="15" t="n"/>
      <c r="G45" s="19" t="n"/>
      <c r="H45" s="17">
        <f>IF(OR(F45="",G45=""),"",ROUND(F45*9.80665*TAN(RADIANS(G45)),3))</f>
        <v/>
      </c>
      <c r="I45" s="18">
        <f>IF(G45="","",IF(G45&lt;45,"適合","要確認"))</f>
        <v/>
      </c>
      <c r="J45" s="13" t="n"/>
      <c r="K45" s="13" t="n"/>
    </row>
    <row r="46">
      <c r="A46" s="13" t="n"/>
      <c r="B46" s="14" t="n"/>
      <c r="C46" s="13" t="n"/>
      <c r="D46" s="13" t="n"/>
      <c r="E46" s="13" t="n"/>
      <c r="F46" s="15" t="n"/>
      <c r="G46" s="19" t="n"/>
      <c r="H46" s="17">
        <f>IF(OR(F46="",G46=""),"",ROUND(F46*9.80665*TAN(RADIANS(G46)),3))</f>
        <v/>
      </c>
      <c r="I46" s="18">
        <f>IF(G46="","",IF(G46&lt;45,"適合","要確認"))</f>
        <v/>
      </c>
      <c r="J46" s="13" t="n"/>
      <c r="K46" s="13" t="n"/>
    </row>
    <row r="47">
      <c r="A47" s="13" t="n"/>
      <c r="B47" s="14" t="n"/>
      <c r="C47" s="13" t="n"/>
      <c r="D47" s="13" t="n"/>
      <c r="E47" s="13" t="n"/>
      <c r="F47" s="15" t="n"/>
      <c r="G47" s="19" t="n"/>
      <c r="H47" s="17">
        <f>IF(OR(F47="",G47=""),"",ROUND(F47*9.80665*TAN(RADIANS(G47)),3))</f>
        <v/>
      </c>
      <c r="I47" s="18">
        <f>IF(G47="","",IF(G47&lt;45,"適合","要確認"))</f>
        <v/>
      </c>
      <c r="J47" s="13" t="n"/>
      <c r="K47" s="13" t="n"/>
    </row>
    <row r="48">
      <c r="A48" s="13" t="n"/>
      <c r="B48" s="14" t="n"/>
      <c r="C48" s="13" t="n"/>
      <c r="D48" s="13" t="n"/>
      <c r="E48" s="13" t="n"/>
      <c r="F48" s="15" t="n"/>
      <c r="G48" s="19" t="n"/>
      <c r="H48" s="17">
        <f>IF(OR(F48="",G48=""),"",ROUND(F48*9.80665*TAN(RADIANS(G48)),3))</f>
        <v/>
      </c>
      <c r="I48" s="18">
        <f>IF(G48="","",IF(G48&lt;45,"適合","要確認"))</f>
        <v/>
      </c>
      <c r="J48" s="13" t="n"/>
      <c r="K48" s="13" t="n"/>
    </row>
    <row r="49">
      <c r="A49" s="13" t="n"/>
      <c r="B49" s="14" t="n"/>
      <c r="C49" s="13" t="n"/>
      <c r="D49" s="13" t="n"/>
      <c r="E49" s="13" t="n"/>
      <c r="F49" s="15" t="n"/>
      <c r="G49" s="19" t="n"/>
      <c r="H49" s="17">
        <f>IF(OR(F49="",G49=""),"",ROUND(F49*9.80665*TAN(RADIANS(G49)),3))</f>
        <v/>
      </c>
      <c r="I49" s="18">
        <f>IF(G49="","",IF(G49&lt;45,"適合","要確認"))</f>
        <v/>
      </c>
      <c r="J49" s="13" t="n"/>
      <c r="K49" s="13" t="n"/>
    </row>
    <row r="50">
      <c r="A50" s="13" t="n"/>
      <c r="B50" s="14" t="n"/>
      <c r="C50" s="13" t="n"/>
      <c r="D50" s="13" t="n"/>
      <c r="E50" s="13" t="n"/>
      <c r="F50" s="15" t="n"/>
      <c r="G50" s="19" t="n"/>
      <c r="H50" s="17">
        <f>IF(OR(F50="",G50=""),"",ROUND(F50*9.80665*TAN(RADIANS(G50)),3))</f>
        <v/>
      </c>
      <c r="I50" s="18">
        <f>IF(G50="","",IF(G50&lt;45,"適合","要確認"))</f>
        <v/>
      </c>
      <c r="J50" s="13" t="n"/>
      <c r="K50" s="13" t="n"/>
    </row>
    <row r="51">
      <c r="A51" s="13" t="n"/>
      <c r="B51" s="14" t="n"/>
      <c r="C51" s="13" t="n"/>
      <c r="D51" s="13" t="n"/>
      <c r="E51" s="13" t="n"/>
      <c r="F51" s="15" t="n"/>
      <c r="G51" s="19" t="n"/>
      <c r="H51" s="17">
        <f>IF(OR(F51="",G51=""),"",ROUND(F51*9.80665*TAN(RADIANS(G51)),3))</f>
        <v/>
      </c>
      <c r="I51" s="18">
        <f>IF(G51="","",IF(G51&lt;45,"適合","要確認"))</f>
        <v/>
      </c>
      <c r="J51" s="13" t="n"/>
      <c r="K51" s="13" t="n"/>
    </row>
    <row r="52">
      <c r="A52" s="13" t="n"/>
      <c r="B52" s="14" t="n"/>
      <c r="C52" s="13" t="n"/>
      <c r="D52" s="13" t="n"/>
      <c r="E52" s="13" t="n"/>
      <c r="F52" s="15" t="n"/>
      <c r="G52" s="19" t="n"/>
      <c r="H52" s="17">
        <f>IF(OR(F52="",G52=""),"",ROUND(F52*9.80665*TAN(RADIANS(G52)),3))</f>
        <v/>
      </c>
      <c r="I52" s="18">
        <f>IF(G52="","",IF(G52&lt;45,"適合","要確認"))</f>
        <v/>
      </c>
      <c r="J52" s="13" t="n"/>
      <c r="K52" s="13" t="n"/>
    </row>
    <row r="53">
      <c r="A53" s="13" t="n"/>
      <c r="B53" s="14" t="n"/>
      <c r="C53" s="13" t="n"/>
      <c r="D53" s="13" t="n"/>
      <c r="E53" s="13" t="n"/>
      <c r="F53" s="15" t="n"/>
      <c r="G53" s="19" t="n"/>
      <c r="H53" s="17">
        <f>IF(OR(F53="",G53=""),"",ROUND(F53*9.80665*TAN(RADIANS(G53)),3))</f>
        <v/>
      </c>
      <c r="I53" s="18">
        <f>IF(G53="","",IF(G53&lt;45,"適合","要確認"))</f>
        <v/>
      </c>
      <c r="J53" s="13" t="n"/>
      <c r="K53" s="13" t="n"/>
    </row>
    <row r="54">
      <c r="A54" s="13" t="n"/>
      <c r="B54" s="14" t="n"/>
      <c r="C54" s="13" t="n"/>
      <c r="D54" s="13" t="n"/>
      <c r="E54" s="13" t="n"/>
      <c r="F54" s="15" t="n"/>
      <c r="G54" s="19" t="n"/>
      <c r="H54" s="17">
        <f>IF(OR(F54="",G54=""),"",ROUND(F54*9.80665*TAN(RADIANS(G54)),3))</f>
        <v/>
      </c>
      <c r="I54" s="18">
        <f>IF(G54="","",IF(G54&lt;45,"適合","要確認"))</f>
        <v/>
      </c>
      <c r="J54" s="13" t="n"/>
      <c r="K54" s="13" t="n"/>
    </row>
    <row r="55">
      <c r="A55" s="13" t="n"/>
      <c r="B55" s="14" t="n"/>
      <c r="C55" s="13" t="n"/>
      <c r="D55" s="13" t="n"/>
      <c r="E55" s="13" t="n"/>
      <c r="F55" s="15" t="n"/>
      <c r="G55" s="19" t="n"/>
      <c r="H55" s="17">
        <f>IF(OR(F55="",G55=""),"",ROUND(F55*9.80665*TAN(RADIANS(G55)),3))</f>
        <v/>
      </c>
      <c r="I55" s="18">
        <f>IF(G55="","",IF(G55&lt;45,"適合","要確認"))</f>
        <v/>
      </c>
      <c r="J55" s="13" t="n"/>
      <c r="K55" s="13" t="n"/>
    </row>
    <row r="56">
      <c r="A56" s="13" t="n"/>
      <c r="B56" s="14" t="n"/>
      <c r="C56" s="13" t="n"/>
      <c r="D56" s="13" t="n"/>
      <c r="E56" s="13" t="n"/>
      <c r="F56" s="15" t="n"/>
      <c r="G56" s="19" t="n"/>
      <c r="H56" s="17">
        <f>IF(OR(F56="",G56=""),"",ROUND(F56*9.80665*TAN(RADIANS(G56)),3))</f>
        <v/>
      </c>
      <c r="I56" s="18">
        <f>IF(G56="","",IF(G56&lt;45,"適合","要確認"))</f>
        <v/>
      </c>
      <c r="J56" s="13" t="n"/>
      <c r="K56" s="13" t="n"/>
    </row>
    <row r="57">
      <c r="A57" s="13" t="n"/>
      <c r="B57" s="14" t="n"/>
      <c r="C57" s="13" t="n"/>
      <c r="D57" s="13" t="n"/>
      <c r="E57" s="13" t="n"/>
      <c r="F57" s="15" t="n"/>
      <c r="G57" s="19" t="n"/>
      <c r="H57" s="17">
        <f>IF(OR(F57="",G57=""),"",ROUND(F57*9.80665*TAN(RADIANS(G57)),3))</f>
        <v/>
      </c>
      <c r="I57" s="18">
        <f>IF(G57="","",IF(G57&lt;45,"適合","要確認"))</f>
        <v/>
      </c>
      <c r="J57" s="13" t="n"/>
      <c r="K57" s="13" t="n"/>
    </row>
    <row r="58">
      <c r="A58" s="13" t="n"/>
      <c r="B58" s="14" t="n"/>
      <c r="C58" s="13" t="n"/>
      <c r="D58" s="13" t="n"/>
      <c r="E58" s="13" t="n"/>
      <c r="F58" s="15" t="n"/>
      <c r="G58" s="19" t="n"/>
      <c r="H58" s="17">
        <f>IF(OR(F58="",G58=""),"",ROUND(F58*9.80665*TAN(RADIANS(G58)),3))</f>
        <v/>
      </c>
      <c r="I58" s="18">
        <f>IF(G58="","",IF(G58&lt;45,"適合","要確認"))</f>
        <v/>
      </c>
      <c r="J58" s="13" t="n"/>
      <c r="K58" s="13" t="n"/>
    </row>
    <row r="59">
      <c r="A59" s="13" t="n"/>
      <c r="B59" s="14" t="n"/>
      <c r="C59" s="13" t="n"/>
      <c r="D59" s="13" t="n"/>
      <c r="E59" s="13" t="n"/>
      <c r="F59" s="15" t="n"/>
      <c r="G59" s="19" t="n"/>
      <c r="H59" s="17">
        <f>IF(OR(F59="",G59=""),"",ROUND(F59*9.80665*TAN(RADIANS(G59)),3))</f>
        <v/>
      </c>
      <c r="I59" s="18">
        <f>IF(G59="","",IF(G59&lt;45,"適合","要確認"))</f>
        <v/>
      </c>
      <c r="J59" s="13" t="n"/>
      <c r="K59" s="13" t="n"/>
    </row>
    <row r="60">
      <c r="A60" s="13" t="n"/>
      <c r="B60" s="14" t="n"/>
      <c r="C60" s="13" t="n"/>
      <c r="D60" s="13" t="n"/>
      <c r="E60" s="13" t="n"/>
      <c r="F60" s="15" t="n"/>
      <c r="G60" s="19" t="n"/>
      <c r="H60" s="17">
        <f>IF(OR(F60="",G60=""),"",ROUND(F60*9.80665*TAN(RADIANS(G60)),3))</f>
        <v/>
      </c>
      <c r="I60" s="18">
        <f>IF(G60="","",IF(G60&lt;45,"適合","要確認"))</f>
        <v/>
      </c>
      <c r="J60" s="13" t="n"/>
      <c r="K60" s="13" t="n"/>
    </row>
    <row r="61">
      <c r="A61" s="13" t="n"/>
      <c r="B61" s="14" t="n"/>
      <c r="C61" s="13" t="n"/>
      <c r="D61" s="13" t="n"/>
      <c r="E61" s="13" t="n"/>
      <c r="F61" s="15" t="n"/>
      <c r="G61" s="19" t="n"/>
      <c r="H61" s="17">
        <f>IF(OR(F61="",G61=""),"",ROUND(F61*9.80665*TAN(RADIANS(G61)),3))</f>
        <v/>
      </c>
      <c r="I61" s="18">
        <f>IF(G61="","",IF(G61&lt;45,"適合","要確認"))</f>
        <v/>
      </c>
      <c r="J61" s="13" t="n"/>
      <c r="K61" s="13" t="n"/>
    </row>
    <row r="62">
      <c r="A62" s="13" t="n"/>
      <c r="B62" s="14" t="n"/>
      <c r="C62" s="13" t="n"/>
      <c r="D62" s="13" t="n"/>
      <c r="E62" s="13" t="n"/>
      <c r="F62" s="15" t="n"/>
      <c r="G62" s="19" t="n"/>
      <c r="H62" s="17">
        <f>IF(OR(F62="",G62=""),"",ROUND(F62*9.80665*TAN(RADIANS(G62)),3))</f>
        <v/>
      </c>
      <c r="I62" s="18">
        <f>IF(G62="","",IF(G62&lt;45,"適合","要確認"))</f>
        <v/>
      </c>
      <c r="J62" s="13" t="n"/>
      <c r="K62" s="13" t="n"/>
    </row>
    <row r="63">
      <c r="A63" s="13" t="n"/>
      <c r="B63" s="14" t="n"/>
      <c r="C63" s="13" t="n"/>
      <c r="D63" s="13" t="n"/>
      <c r="E63" s="13" t="n"/>
      <c r="F63" s="15" t="n"/>
      <c r="G63" s="19" t="n"/>
      <c r="H63" s="17">
        <f>IF(OR(F63="",G63=""),"",ROUND(F63*9.80665*TAN(RADIANS(G63)),3))</f>
        <v/>
      </c>
      <c r="I63" s="18">
        <f>IF(G63="","",IF(G63&lt;45,"適合","要確認"))</f>
        <v/>
      </c>
      <c r="J63" s="13" t="n"/>
      <c r="K63" s="13" t="n"/>
    </row>
    <row r="64">
      <c r="A64" s="13" t="n"/>
      <c r="B64" s="14" t="n"/>
      <c r="C64" s="13" t="n"/>
      <c r="D64" s="13" t="n"/>
      <c r="E64" s="13" t="n"/>
      <c r="F64" s="15" t="n"/>
      <c r="G64" s="19" t="n"/>
      <c r="H64" s="17">
        <f>IF(OR(F64="",G64=""),"",ROUND(F64*9.80665*TAN(RADIANS(G64)),3))</f>
        <v/>
      </c>
      <c r="I64" s="18">
        <f>IF(G64="","",IF(G64&lt;45,"適合","要確認"))</f>
        <v/>
      </c>
      <c r="J64" s="13" t="n"/>
      <c r="K64" s="13" t="n"/>
    </row>
    <row r="65">
      <c r="A65" s="13" t="n"/>
      <c r="B65" s="14" t="n"/>
      <c r="C65" s="13" t="n"/>
      <c r="D65" s="13" t="n"/>
      <c r="E65" s="13" t="n"/>
      <c r="F65" s="15" t="n"/>
      <c r="G65" s="19" t="n"/>
      <c r="H65" s="17">
        <f>IF(OR(F65="",G65=""),"",ROUND(F65*9.80665*TAN(RADIANS(G65)),3))</f>
        <v/>
      </c>
      <c r="I65" s="18">
        <f>IF(G65="","",IF(G65&lt;45,"適合","要確認"))</f>
        <v/>
      </c>
      <c r="J65" s="13" t="n"/>
      <c r="K65" s="13" t="n"/>
    </row>
    <row r="66">
      <c r="A66" s="13" t="n"/>
      <c r="B66" s="14" t="n"/>
      <c r="C66" s="13" t="n"/>
      <c r="D66" s="13" t="n"/>
      <c r="E66" s="13" t="n"/>
      <c r="F66" s="15" t="n"/>
      <c r="G66" s="19" t="n"/>
      <c r="H66" s="17">
        <f>IF(OR(F66="",G66=""),"",ROUND(F66*9.80665*TAN(RADIANS(G66)),3))</f>
        <v/>
      </c>
      <c r="I66" s="18">
        <f>IF(G66="","",IF(G66&lt;45,"適合","要確認"))</f>
        <v/>
      </c>
      <c r="J66" s="13" t="n"/>
      <c r="K66" s="13" t="n"/>
    </row>
    <row r="67">
      <c r="A67" s="13" t="n"/>
      <c r="B67" s="14" t="n"/>
      <c r="C67" s="13" t="n"/>
      <c r="D67" s="13" t="n"/>
      <c r="E67" s="13" t="n"/>
      <c r="F67" s="15" t="n"/>
      <c r="G67" s="19" t="n"/>
      <c r="H67" s="17">
        <f>IF(OR(F67="",G67=""),"",ROUND(F67*9.80665*TAN(RADIANS(G67)),3))</f>
        <v/>
      </c>
      <c r="I67" s="18">
        <f>IF(G67="","",IF(G67&lt;45,"適合","要確認"))</f>
        <v/>
      </c>
      <c r="J67" s="13" t="n"/>
      <c r="K67" s="13" t="n"/>
    </row>
    <row r="68">
      <c r="A68" s="13" t="n"/>
      <c r="B68" s="14" t="n"/>
      <c r="C68" s="13" t="n"/>
      <c r="D68" s="13" t="n"/>
      <c r="E68" s="13" t="n"/>
      <c r="F68" s="15" t="n"/>
      <c r="G68" s="19" t="n"/>
      <c r="H68" s="17">
        <f>IF(OR(F68="",G68=""),"",ROUND(F68*9.80665*TAN(RADIANS(G68)),3))</f>
        <v/>
      </c>
      <c r="I68" s="18">
        <f>IF(G68="","",IF(G68&lt;45,"適合","要確認"))</f>
        <v/>
      </c>
      <c r="J68" s="13" t="n"/>
      <c r="K68" s="13" t="n"/>
    </row>
    <row r="69">
      <c r="A69" s="13" t="n"/>
      <c r="B69" s="14" t="n"/>
      <c r="C69" s="13" t="n"/>
      <c r="D69" s="13" t="n"/>
      <c r="E69" s="13" t="n"/>
      <c r="F69" s="15" t="n"/>
      <c r="G69" s="19" t="n"/>
      <c r="H69" s="17">
        <f>IF(OR(F69="",G69=""),"",ROUND(F69*9.80665*TAN(RADIANS(G69)),3))</f>
        <v/>
      </c>
      <c r="I69" s="18">
        <f>IF(G69="","",IF(G69&lt;45,"適合","要確認"))</f>
        <v/>
      </c>
      <c r="J69" s="13" t="n"/>
      <c r="K69" s="13" t="n"/>
    </row>
    <row r="70">
      <c r="A70" s="13" t="n"/>
      <c r="B70" s="14" t="n"/>
      <c r="C70" s="13" t="n"/>
      <c r="D70" s="13" t="n"/>
      <c r="E70" s="13" t="n"/>
      <c r="F70" s="15" t="n"/>
      <c r="G70" s="19" t="n"/>
      <c r="H70" s="17">
        <f>IF(OR(F70="",G70=""),"",ROUND(F70*9.80665*TAN(RADIANS(G70)),3))</f>
        <v/>
      </c>
      <c r="I70" s="18">
        <f>IF(G70="","",IF(G70&lt;45,"適合","要確認"))</f>
        <v/>
      </c>
      <c r="J70" s="13" t="n"/>
      <c r="K70" s="13" t="n"/>
    </row>
    <row r="71">
      <c r="A71" s="13" t="n"/>
      <c r="B71" s="14" t="n"/>
      <c r="C71" s="13" t="n"/>
      <c r="D71" s="13" t="n"/>
      <c r="E71" s="13" t="n"/>
      <c r="F71" s="15" t="n"/>
      <c r="G71" s="19" t="n"/>
      <c r="H71" s="17">
        <f>IF(OR(F71="",G71=""),"",ROUND(F71*9.80665*TAN(RADIANS(G71)),3))</f>
        <v/>
      </c>
      <c r="I71" s="18">
        <f>IF(G71="","",IF(G71&lt;45,"適合","要確認"))</f>
        <v/>
      </c>
      <c r="J71" s="13" t="n"/>
      <c r="K71" s="13" t="n"/>
    </row>
    <row r="72">
      <c r="A72" s="13" t="n"/>
      <c r="B72" s="14" t="n"/>
      <c r="C72" s="13" t="n"/>
      <c r="D72" s="13" t="n"/>
      <c r="E72" s="13" t="n"/>
      <c r="F72" s="15" t="n"/>
      <c r="G72" s="19" t="n"/>
      <c r="H72" s="17">
        <f>IF(OR(F72="",G72=""),"",ROUND(F72*9.80665*TAN(RADIANS(G72)),3))</f>
        <v/>
      </c>
      <c r="I72" s="18">
        <f>IF(G72="","",IF(G72&lt;45,"適合","要確認"))</f>
        <v/>
      </c>
      <c r="J72" s="13" t="n"/>
      <c r="K72" s="13" t="n"/>
    </row>
    <row r="73">
      <c r="A73" s="13" t="n"/>
      <c r="B73" s="14" t="n"/>
      <c r="C73" s="13" t="n"/>
      <c r="D73" s="13" t="n"/>
      <c r="E73" s="13" t="n"/>
      <c r="F73" s="15" t="n"/>
      <c r="G73" s="19" t="n"/>
      <c r="H73" s="17">
        <f>IF(OR(F73="",G73=""),"",ROUND(F73*9.80665*TAN(RADIANS(G73)),3))</f>
        <v/>
      </c>
      <c r="I73" s="18">
        <f>IF(G73="","",IF(G73&lt;45,"適合","要確認"))</f>
        <v/>
      </c>
      <c r="J73" s="13" t="n"/>
      <c r="K73" s="13" t="n"/>
    </row>
    <row r="74">
      <c r="A74" s="13" t="n"/>
      <c r="B74" s="14" t="n"/>
      <c r="C74" s="13" t="n"/>
      <c r="D74" s="13" t="n"/>
      <c r="E74" s="13" t="n"/>
      <c r="F74" s="15" t="n"/>
      <c r="G74" s="19" t="n"/>
      <c r="H74" s="17">
        <f>IF(OR(F74="",G74=""),"",ROUND(F74*9.80665*TAN(RADIANS(G74)),3))</f>
        <v/>
      </c>
      <c r="I74" s="18">
        <f>IF(G74="","",IF(G74&lt;45,"適合","要確認"))</f>
        <v/>
      </c>
      <c r="J74" s="13" t="n"/>
      <c r="K74" s="13" t="n"/>
    </row>
    <row r="75">
      <c r="A75" s="13" t="n"/>
      <c r="B75" s="14" t="n"/>
      <c r="C75" s="13" t="n"/>
      <c r="D75" s="13" t="n"/>
      <c r="E75" s="13" t="n"/>
      <c r="F75" s="15" t="n"/>
      <c r="G75" s="19" t="n"/>
      <c r="H75" s="17">
        <f>IF(OR(F75="",G75=""),"",ROUND(F75*9.80665*TAN(RADIANS(G75)),3))</f>
        <v/>
      </c>
      <c r="I75" s="18">
        <f>IF(G75="","",IF(G75&lt;45,"適合","要確認"))</f>
        <v/>
      </c>
      <c r="J75" s="13" t="n"/>
      <c r="K75" s="13" t="n"/>
    </row>
    <row r="76">
      <c r="A76" s="13" t="n"/>
      <c r="B76" s="14" t="n"/>
      <c r="C76" s="13" t="n"/>
      <c r="D76" s="13" t="n"/>
      <c r="E76" s="13" t="n"/>
      <c r="F76" s="15" t="n"/>
      <c r="G76" s="19" t="n"/>
      <c r="H76" s="17">
        <f>IF(OR(F76="",G76=""),"",ROUND(F76*9.80665*TAN(RADIANS(G76)),3))</f>
        <v/>
      </c>
      <c r="I76" s="18">
        <f>IF(G76="","",IF(G76&lt;45,"適合","要確認"))</f>
        <v/>
      </c>
      <c r="J76" s="13" t="n"/>
      <c r="K76" s="13" t="n"/>
    </row>
    <row r="77">
      <c r="A77" s="13" t="n"/>
      <c r="B77" s="14" t="n"/>
      <c r="C77" s="13" t="n"/>
      <c r="D77" s="13" t="n"/>
      <c r="E77" s="13" t="n"/>
      <c r="F77" s="15" t="n"/>
      <c r="G77" s="19" t="n"/>
      <c r="H77" s="17">
        <f>IF(OR(F77="",G77=""),"",ROUND(F77*9.80665*TAN(RADIANS(G77)),3))</f>
        <v/>
      </c>
      <c r="I77" s="18">
        <f>IF(G77="","",IF(G77&lt;45,"適合","要確認"))</f>
        <v/>
      </c>
      <c r="J77" s="13" t="n"/>
      <c r="K77" s="13" t="n"/>
    </row>
    <row r="78">
      <c r="A78" s="13" t="n"/>
      <c r="B78" s="14" t="n"/>
      <c r="C78" s="13" t="n"/>
      <c r="D78" s="13" t="n"/>
      <c r="E78" s="13" t="n"/>
      <c r="F78" s="15" t="n"/>
      <c r="G78" s="19" t="n"/>
      <c r="H78" s="17">
        <f>IF(OR(F78="",G78=""),"",ROUND(F78*9.80665*TAN(RADIANS(G78)),3))</f>
        <v/>
      </c>
      <c r="I78" s="18">
        <f>IF(G78="","",IF(G78&lt;45,"適合","要確認"))</f>
        <v/>
      </c>
      <c r="J78" s="13" t="n"/>
      <c r="K78" s="13" t="n"/>
    </row>
    <row r="79">
      <c r="A79" s="13" t="n"/>
      <c r="B79" s="14" t="n"/>
      <c r="C79" s="13" t="n"/>
      <c r="D79" s="13" t="n"/>
      <c r="E79" s="13" t="n"/>
      <c r="F79" s="15" t="n"/>
      <c r="G79" s="19" t="n"/>
      <c r="H79" s="17">
        <f>IF(OR(F79="",G79=""),"",ROUND(F79*9.80665*TAN(RADIANS(G79)),3))</f>
        <v/>
      </c>
      <c r="I79" s="18">
        <f>IF(G79="","",IF(G79&lt;45,"適合","要確認"))</f>
        <v/>
      </c>
      <c r="J79" s="13" t="n"/>
      <c r="K79" s="13" t="n"/>
    </row>
    <row r="80">
      <c r="A80" s="13" t="n"/>
      <c r="B80" s="14" t="n"/>
      <c r="C80" s="13" t="n"/>
      <c r="D80" s="13" t="n"/>
      <c r="E80" s="13" t="n"/>
      <c r="F80" s="15" t="n"/>
      <c r="G80" s="19" t="n"/>
      <c r="H80" s="17">
        <f>IF(OR(F80="",G80=""),"",ROUND(F80*9.80665*TAN(RADIANS(G80)),3))</f>
        <v/>
      </c>
      <c r="I80" s="18">
        <f>IF(G80="","",IF(G80&lt;45,"適合","要確認"))</f>
        <v/>
      </c>
      <c r="J80" s="13" t="n"/>
      <c r="K80" s="13" t="n"/>
    </row>
    <row r="81">
      <c r="A81" s="13" t="n"/>
      <c r="B81" s="14" t="n"/>
      <c r="C81" s="13" t="n"/>
      <c r="D81" s="13" t="n"/>
      <c r="E81" s="13" t="n"/>
      <c r="F81" s="15" t="n"/>
      <c r="G81" s="19" t="n"/>
      <c r="H81" s="17">
        <f>IF(OR(F81="",G81=""),"",ROUND(F81*9.80665*TAN(RADIANS(G81)),3))</f>
        <v/>
      </c>
      <c r="I81" s="18">
        <f>IF(G81="","",IF(G81&lt;45,"適合","要確認"))</f>
        <v/>
      </c>
      <c r="J81" s="13" t="n"/>
      <c r="K81" s="13" t="n"/>
    </row>
    <row r="82">
      <c r="A82" s="13" t="n"/>
      <c r="B82" s="14" t="n"/>
      <c r="C82" s="13" t="n"/>
      <c r="D82" s="13" t="n"/>
      <c r="E82" s="13" t="n"/>
      <c r="F82" s="15" t="n"/>
      <c r="G82" s="19" t="n"/>
      <c r="H82" s="17">
        <f>IF(OR(F82="",G82=""),"",ROUND(F82*9.80665*TAN(RADIANS(G82)),3))</f>
        <v/>
      </c>
      <c r="I82" s="18">
        <f>IF(G82="","",IF(G82&lt;45,"適合","要確認"))</f>
        <v/>
      </c>
      <c r="J82" s="13" t="n"/>
      <c r="K82" s="13" t="n"/>
    </row>
    <row r="83">
      <c r="A83" s="13" t="n"/>
      <c r="B83" s="14" t="n"/>
      <c r="C83" s="13" t="n"/>
      <c r="D83" s="13" t="n"/>
      <c r="E83" s="13" t="n"/>
      <c r="F83" s="15" t="n"/>
      <c r="G83" s="19" t="n"/>
      <c r="H83" s="17">
        <f>IF(OR(F83="",G83=""),"",ROUND(F83*9.80665*TAN(RADIANS(G83)),3))</f>
        <v/>
      </c>
      <c r="I83" s="18">
        <f>IF(G83="","",IF(G83&lt;45,"適合","要確認"))</f>
        <v/>
      </c>
      <c r="J83" s="13" t="n"/>
      <c r="K83" s="13" t="n"/>
    </row>
    <row r="84">
      <c r="A84" s="13" t="n"/>
      <c r="B84" s="14" t="n"/>
      <c r="C84" s="13" t="n"/>
      <c r="D84" s="13" t="n"/>
      <c r="E84" s="13" t="n"/>
      <c r="F84" s="15" t="n"/>
      <c r="G84" s="19" t="n"/>
      <c r="H84" s="17">
        <f>IF(OR(F84="",G84=""),"",ROUND(F84*9.80665*TAN(RADIANS(G84)),3))</f>
        <v/>
      </c>
      <c r="I84" s="18">
        <f>IF(G84="","",IF(G84&lt;45,"適合","要確認"))</f>
        <v/>
      </c>
      <c r="J84" s="13" t="n"/>
      <c r="K84" s="13" t="n"/>
    </row>
    <row r="85">
      <c r="A85" s="13" t="n"/>
      <c r="B85" s="14" t="n"/>
      <c r="C85" s="13" t="n"/>
      <c r="D85" s="13" t="n"/>
      <c r="E85" s="13" t="n"/>
      <c r="F85" s="15" t="n"/>
      <c r="G85" s="19" t="n"/>
      <c r="H85" s="17">
        <f>IF(OR(F85="",G85=""),"",ROUND(F85*9.80665*TAN(RADIANS(G85)),3))</f>
        <v/>
      </c>
      <c r="I85" s="18">
        <f>IF(G85="","",IF(G85&lt;45,"適合","要確認"))</f>
        <v/>
      </c>
      <c r="J85" s="13" t="n"/>
      <c r="K85" s="13" t="n"/>
    </row>
    <row r="86">
      <c r="A86" s="13" t="n"/>
      <c r="B86" s="14" t="n"/>
      <c r="C86" s="13" t="n"/>
      <c r="D86" s="13" t="n"/>
      <c r="E86" s="13" t="n"/>
      <c r="F86" s="15" t="n"/>
      <c r="G86" s="19" t="n"/>
      <c r="H86" s="17">
        <f>IF(OR(F86="",G86=""),"",ROUND(F86*9.80665*TAN(RADIANS(G86)),3))</f>
        <v/>
      </c>
      <c r="I86" s="18">
        <f>IF(G86="","",IF(G86&lt;45,"適合","要確認"))</f>
        <v/>
      </c>
      <c r="J86" s="13" t="n"/>
      <c r="K86" s="13" t="n"/>
    </row>
    <row r="87">
      <c r="A87" s="13" t="n"/>
      <c r="B87" s="14" t="n"/>
      <c r="C87" s="13" t="n"/>
      <c r="D87" s="13" t="n"/>
      <c r="E87" s="13" t="n"/>
      <c r="F87" s="15" t="n"/>
      <c r="G87" s="19" t="n"/>
      <c r="H87" s="17">
        <f>IF(OR(F87="",G87=""),"",ROUND(F87*9.80665*TAN(RADIANS(G87)),3))</f>
        <v/>
      </c>
      <c r="I87" s="18">
        <f>IF(G87="","",IF(G87&lt;45,"適合","要確認"))</f>
        <v/>
      </c>
      <c r="J87" s="13" t="n"/>
      <c r="K87" s="13" t="n"/>
    </row>
    <row r="88">
      <c r="A88" s="13" t="n"/>
      <c r="B88" s="14" t="n"/>
      <c r="C88" s="13" t="n"/>
      <c r="D88" s="13" t="n"/>
      <c r="E88" s="13" t="n"/>
      <c r="F88" s="15" t="n"/>
      <c r="G88" s="19" t="n"/>
      <c r="H88" s="17">
        <f>IF(OR(F88="",G88=""),"",ROUND(F88*9.80665*TAN(RADIANS(G88)),3))</f>
        <v/>
      </c>
      <c r="I88" s="18">
        <f>IF(G88="","",IF(G88&lt;45,"適合","要確認"))</f>
        <v/>
      </c>
      <c r="J88" s="13" t="n"/>
      <c r="K88" s="13" t="n"/>
    </row>
    <row r="89">
      <c r="A89" s="13" t="n"/>
      <c r="B89" s="14" t="n"/>
      <c r="C89" s="13" t="n"/>
      <c r="D89" s="13" t="n"/>
      <c r="E89" s="13" t="n"/>
      <c r="F89" s="15" t="n"/>
      <c r="G89" s="19" t="n"/>
      <c r="H89" s="17">
        <f>IF(OR(F89="",G89=""),"",ROUND(F89*9.80665*TAN(RADIANS(G89)),3))</f>
        <v/>
      </c>
      <c r="I89" s="18">
        <f>IF(G89="","",IF(G89&lt;45,"適合","要確認"))</f>
        <v/>
      </c>
      <c r="J89" s="13" t="n"/>
      <c r="K89" s="13" t="n"/>
    </row>
    <row r="90">
      <c r="A90" s="13" t="n"/>
      <c r="B90" s="14" t="n"/>
      <c r="C90" s="13" t="n"/>
      <c r="D90" s="13" t="n"/>
      <c r="E90" s="13" t="n"/>
      <c r="F90" s="15" t="n"/>
      <c r="G90" s="19" t="n"/>
      <c r="H90" s="17">
        <f>IF(OR(F90="",G90=""),"",ROUND(F90*9.80665*TAN(RADIANS(G90)),3))</f>
        <v/>
      </c>
      <c r="I90" s="18">
        <f>IF(G90="","",IF(G90&lt;45,"適合","要確認"))</f>
        <v/>
      </c>
      <c r="J90" s="13" t="n"/>
      <c r="K90" s="13" t="n"/>
    </row>
    <row r="91">
      <c r="A91" s="13" t="n"/>
      <c r="B91" s="14" t="n"/>
      <c r="C91" s="13" t="n"/>
      <c r="D91" s="13" t="n"/>
      <c r="E91" s="13" t="n"/>
      <c r="F91" s="15" t="n"/>
      <c r="G91" s="19" t="n"/>
      <c r="H91" s="17">
        <f>IF(OR(F91="",G91=""),"",ROUND(F91*9.80665*TAN(RADIANS(G91)),3))</f>
        <v/>
      </c>
      <c r="I91" s="18">
        <f>IF(G91="","",IF(G91&lt;45,"適合","要確認"))</f>
        <v/>
      </c>
      <c r="J91" s="13" t="n"/>
      <c r="K91" s="13" t="n"/>
    </row>
    <row r="92">
      <c r="A92" s="13" t="n"/>
      <c r="B92" s="14" t="n"/>
      <c r="C92" s="13" t="n"/>
      <c r="D92" s="13" t="n"/>
      <c r="E92" s="13" t="n"/>
      <c r="F92" s="15" t="n"/>
      <c r="G92" s="19" t="n"/>
      <c r="H92" s="17">
        <f>IF(OR(F92="",G92=""),"",ROUND(F92*9.80665*TAN(RADIANS(G92)),3))</f>
        <v/>
      </c>
      <c r="I92" s="18">
        <f>IF(G92="","",IF(G92&lt;45,"適合","要確認"))</f>
        <v/>
      </c>
      <c r="J92" s="13" t="n"/>
      <c r="K92" s="13" t="n"/>
    </row>
    <row r="93">
      <c r="A93" s="13" t="n"/>
      <c r="B93" s="14" t="n"/>
      <c r="C93" s="13" t="n"/>
      <c r="D93" s="13" t="n"/>
      <c r="E93" s="13" t="n"/>
      <c r="F93" s="15" t="n"/>
      <c r="G93" s="19" t="n"/>
      <c r="H93" s="17">
        <f>IF(OR(F93="",G93=""),"",ROUND(F93*9.80665*TAN(RADIANS(G93)),3))</f>
        <v/>
      </c>
      <c r="I93" s="18">
        <f>IF(G93="","",IF(G93&lt;45,"適合","要確認"))</f>
        <v/>
      </c>
      <c r="J93" s="13" t="n"/>
      <c r="K93" s="13" t="n"/>
    </row>
    <row r="94">
      <c r="A94" s="13" t="n"/>
      <c r="B94" s="14" t="n"/>
      <c r="C94" s="13" t="n"/>
      <c r="D94" s="13" t="n"/>
      <c r="E94" s="13" t="n"/>
      <c r="F94" s="15" t="n"/>
      <c r="G94" s="19" t="n"/>
      <c r="H94" s="17">
        <f>IF(OR(F94="",G94=""),"",ROUND(F94*9.80665*TAN(RADIANS(G94)),3))</f>
        <v/>
      </c>
      <c r="I94" s="18">
        <f>IF(G94="","",IF(G94&lt;45,"適合","要確認"))</f>
        <v/>
      </c>
      <c r="J94" s="13" t="n"/>
      <c r="K94" s="13" t="n"/>
    </row>
    <row r="95">
      <c r="A95" s="13" t="n"/>
      <c r="B95" s="14" t="n"/>
      <c r="C95" s="13" t="n"/>
      <c r="D95" s="13" t="n"/>
      <c r="E95" s="13" t="n"/>
      <c r="F95" s="15" t="n"/>
      <c r="G95" s="19" t="n"/>
      <c r="H95" s="17">
        <f>IF(OR(F95="",G95=""),"",ROUND(F95*9.80665*TAN(RADIANS(G95)),3))</f>
        <v/>
      </c>
      <c r="I95" s="18">
        <f>IF(G95="","",IF(G95&lt;45,"適合","要確認"))</f>
        <v/>
      </c>
      <c r="J95" s="13" t="n"/>
      <c r="K95" s="13" t="n"/>
    </row>
    <row r="96">
      <c r="A96" s="13" t="n"/>
      <c r="B96" s="14" t="n"/>
      <c r="C96" s="13" t="n"/>
      <c r="D96" s="13" t="n"/>
      <c r="E96" s="13" t="n"/>
      <c r="F96" s="15" t="n"/>
      <c r="G96" s="19" t="n"/>
      <c r="H96" s="17">
        <f>IF(OR(F96="",G96=""),"",ROUND(F96*9.80665*TAN(RADIANS(G96)),3))</f>
        <v/>
      </c>
      <c r="I96" s="18">
        <f>IF(G96="","",IF(G96&lt;45,"適合","要確認"))</f>
        <v/>
      </c>
      <c r="J96" s="13" t="n"/>
      <c r="K96" s="13" t="n"/>
    </row>
    <row r="97">
      <c r="A97" s="13" t="n"/>
      <c r="B97" s="14" t="n"/>
      <c r="C97" s="13" t="n"/>
      <c r="D97" s="13" t="n"/>
      <c r="E97" s="13" t="n"/>
      <c r="F97" s="15" t="n"/>
      <c r="G97" s="19" t="n"/>
      <c r="H97" s="17">
        <f>IF(OR(F97="",G97=""),"",ROUND(F97*9.80665*TAN(RADIANS(G97)),3))</f>
        <v/>
      </c>
      <c r="I97" s="18">
        <f>IF(G97="","",IF(G97&lt;45,"適合","要確認"))</f>
        <v/>
      </c>
      <c r="J97" s="13" t="n"/>
      <c r="K97" s="13" t="n"/>
    </row>
    <row r="98">
      <c r="A98" s="13" t="n"/>
      <c r="B98" s="14" t="n"/>
      <c r="C98" s="13" t="n"/>
      <c r="D98" s="13" t="n"/>
      <c r="E98" s="13" t="n"/>
      <c r="F98" s="15" t="n"/>
      <c r="G98" s="19" t="n"/>
      <c r="H98" s="17">
        <f>IF(OR(F98="",G98=""),"",ROUND(F98*9.80665*TAN(RADIANS(G98)),3))</f>
        <v/>
      </c>
      <c r="I98" s="18">
        <f>IF(G98="","",IF(G98&lt;45,"適合","要確認"))</f>
        <v/>
      </c>
      <c r="J98" s="13" t="n"/>
      <c r="K98" s="13" t="n"/>
    </row>
    <row r="99">
      <c r="A99" s="13" t="n"/>
      <c r="B99" s="14" t="n"/>
      <c r="C99" s="13" t="n"/>
      <c r="D99" s="13" t="n"/>
      <c r="E99" s="13" t="n"/>
      <c r="F99" s="15" t="n"/>
      <c r="G99" s="19" t="n"/>
      <c r="H99" s="17">
        <f>IF(OR(F99="",G99=""),"",ROUND(F99*9.80665*TAN(RADIANS(G99)),3))</f>
        <v/>
      </c>
      <c r="I99" s="18">
        <f>IF(G99="","",IF(G99&lt;45,"適合","要確認"))</f>
        <v/>
      </c>
      <c r="J99" s="13" t="n"/>
      <c r="K99" s="13" t="n"/>
    </row>
    <row r="100">
      <c r="A100" s="13" t="n"/>
      <c r="B100" s="14" t="n"/>
      <c r="C100" s="13" t="n"/>
      <c r="D100" s="13" t="n"/>
      <c r="E100" s="13" t="n"/>
      <c r="F100" s="15" t="n"/>
      <c r="G100" s="19" t="n"/>
      <c r="H100" s="17">
        <f>IF(OR(F100="",G100=""),"",ROUND(F100*9.80665*TAN(RADIANS(G100)),3))</f>
        <v/>
      </c>
      <c r="I100" s="18">
        <f>IF(G100="","",IF(G100&lt;45,"適合","要確認"))</f>
        <v/>
      </c>
      <c r="J100" s="13" t="n"/>
      <c r="K100" s="13" t="n"/>
    </row>
    <row r="101">
      <c r="A101" s="13" t="n"/>
      <c r="B101" s="14" t="n"/>
      <c r="C101" s="13" t="n"/>
      <c r="D101" s="13" t="n"/>
      <c r="E101" s="13" t="n"/>
      <c r="F101" s="15" t="n"/>
      <c r="G101" s="19" t="n"/>
      <c r="H101" s="17">
        <f>IF(OR(F101="",G101=""),"",ROUND(F101*9.80665*TAN(RADIANS(G101)),3))</f>
        <v/>
      </c>
      <c r="I101" s="18">
        <f>IF(G101="","",IF(G101&lt;45,"適合","要確認"))</f>
        <v/>
      </c>
      <c r="J101" s="13" t="n"/>
      <c r="K101" s="13" t="n"/>
    </row>
    <row r="102">
      <c r="A102" s="13" t="n"/>
      <c r="B102" s="14" t="n"/>
      <c r="C102" s="13" t="n"/>
      <c r="D102" s="13" t="n"/>
      <c r="E102" s="13" t="n"/>
      <c r="F102" s="15" t="n"/>
      <c r="G102" s="19" t="n"/>
      <c r="H102" s="17">
        <f>IF(OR(F102="",G102=""),"",ROUND(F102*9.80665*TAN(RADIANS(G102)),3))</f>
        <v/>
      </c>
      <c r="I102" s="18">
        <f>IF(G102="","",IF(G102&lt;45,"適合","要確認"))</f>
        <v/>
      </c>
      <c r="J102" s="13" t="n"/>
      <c r="K102" s="13" t="n"/>
    </row>
    <row r="103">
      <c r="A103" s="13" t="n"/>
      <c r="B103" s="14" t="n"/>
      <c r="C103" s="13" t="n"/>
      <c r="D103" s="13" t="n"/>
      <c r="E103" s="13" t="n"/>
      <c r="F103" s="15" t="n"/>
      <c r="G103" s="19" t="n"/>
      <c r="H103" s="17">
        <f>IF(OR(F103="",G103=""),"",ROUND(F103*9.80665*TAN(RADIANS(G103)),3))</f>
        <v/>
      </c>
      <c r="I103" s="18">
        <f>IF(G103="","",IF(G103&lt;45,"適合","要確認"))</f>
        <v/>
      </c>
      <c r="J103" s="13" t="n"/>
      <c r="K103" s="13" t="n"/>
    </row>
    <row r="104">
      <c r="A104" s="13" t="n"/>
      <c r="B104" s="14" t="n"/>
      <c r="C104" s="13" t="n"/>
      <c r="D104" s="13" t="n"/>
      <c r="E104" s="13" t="n"/>
      <c r="F104" s="15" t="n"/>
      <c r="G104" s="19" t="n"/>
      <c r="H104" s="17">
        <f>IF(OR(F104="",G104=""),"",ROUND(F104*9.80665*TAN(RADIANS(G104)),3))</f>
        <v/>
      </c>
      <c r="I104" s="18">
        <f>IF(G104="","",IF(G104&lt;45,"適合","要確認"))</f>
        <v/>
      </c>
      <c r="J104" s="13" t="n"/>
      <c r="K104" s="13" t="n"/>
    </row>
    <row r="105">
      <c r="A105" s="13" t="n"/>
      <c r="B105" s="14" t="n"/>
      <c r="C105" s="13" t="n"/>
      <c r="D105" s="13" t="n"/>
      <c r="E105" s="13" t="n"/>
      <c r="F105" s="15" t="n"/>
      <c r="G105" s="19" t="n"/>
      <c r="H105" s="17">
        <f>IF(OR(F105="",G105=""),"",ROUND(F105*9.80665*TAN(RADIANS(G105)),3))</f>
        <v/>
      </c>
      <c r="I105" s="18">
        <f>IF(G105="","",IF(G105&lt;45,"適合","要確認"))</f>
        <v/>
      </c>
      <c r="J105" s="13" t="n"/>
      <c r="K105" s="13" t="n"/>
    </row>
    <row r="106">
      <c r="A106" s="13" t="n"/>
      <c r="B106" s="14" t="n"/>
      <c r="C106" s="13" t="n"/>
      <c r="D106" s="13" t="n"/>
      <c r="E106" s="13" t="n"/>
      <c r="F106" s="15" t="n"/>
      <c r="G106" s="19" t="n"/>
      <c r="H106" s="17">
        <f>IF(OR(F106="",G106=""),"",ROUND(F106*9.80665*TAN(RADIANS(G106)),3))</f>
        <v/>
      </c>
      <c r="I106" s="18">
        <f>IF(G106="","",IF(G106&lt;45,"適合","要確認"))</f>
        <v/>
      </c>
      <c r="J106" s="13" t="n"/>
      <c r="K106" s="13" t="n"/>
    </row>
    <row r="107">
      <c r="A107" s="13" t="n"/>
      <c r="B107" s="14" t="n"/>
      <c r="C107" s="13" t="n"/>
      <c r="D107" s="13" t="n"/>
      <c r="E107" s="13" t="n"/>
      <c r="F107" s="15" t="n"/>
      <c r="G107" s="19" t="n"/>
      <c r="H107" s="17">
        <f>IF(OR(F107="",G107=""),"",ROUND(F107*9.80665*TAN(RADIANS(G107)),3))</f>
        <v/>
      </c>
      <c r="I107" s="18">
        <f>IF(G107="","",IF(G107&lt;45,"適合","要確認"))</f>
        <v/>
      </c>
      <c r="J107" s="13" t="n"/>
      <c r="K107" s="13" t="n"/>
    </row>
    <row r="108">
      <c r="A108" s="13" t="n"/>
      <c r="B108" s="14" t="n"/>
      <c r="C108" s="13" t="n"/>
      <c r="D108" s="13" t="n"/>
      <c r="E108" s="13" t="n"/>
      <c r="F108" s="15" t="n"/>
      <c r="G108" s="19" t="n"/>
      <c r="H108" s="17">
        <f>IF(OR(F108="",G108=""),"",ROUND(F108*9.80665*TAN(RADIANS(G108)),3))</f>
        <v/>
      </c>
      <c r="I108" s="18">
        <f>IF(G108="","",IF(G108&lt;45,"適合","要確認"))</f>
        <v/>
      </c>
      <c r="J108" s="13" t="n"/>
      <c r="K108" s="13" t="n"/>
    </row>
    <row r="109">
      <c r="A109" s="13" t="n"/>
      <c r="B109" s="14" t="n"/>
      <c r="C109" s="13" t="n"/>
      <c r="D109" s="13" t="n"/>
      <c r="E109" s="13" t="n"/>
      <c r="F109" s="15" t="n"/>
      <c r="G109" s="19" t="n"/>
      <c r="H109" s="17">
        <f>IF(OR(F109="",G109=""),"",ROUND(F109*9.80665*TAN(RADIANS(G109)),3))</f>
        <v/>
      </c>
      <c r="I109" s="18">
        <f>IF(G109="","",IF(G109&lt;45,"適合","要確認"))</f>
        <v/>
      </c>
      <c r="J109" s="13" t="n"/>
      <c r="K109" s="13" t="n"/>
    </row>
    <row r="110">
      <c r="A110" s="13" t="n"/>
      <c r="B110" s="14" t="n"/>
      <c r="C110" s="13" t="n"/>
      <c r="D110" s="13" t="n"/>
      <c r="E110" s="13" t="n"/>
      <c r="F110" s="15" t="n"/>
      <c r="G110" s="19" t="n"/>
      <c r="H110" s="17">
        <f>IF(OR(F110="",G110=""),"",ROUND(F110*9.80665*TAN(RADIANS(G110)),3))</f>
        <v/>
      </c>
      <c r="I110" s="18">
        <f>IF(G110="","",IF(G110&lt;45,"適合","要確認"))</f>
        <v/>
      </c>
      <c r="J110" s="13" t="n"/>
      <c r="K110" s="13" t="n"/>
    </row>
    <row r="111">
      <c r="A111" s="13" t="n"/>
      <c r="B111" s="14" t="n"/>
      <c r="C111" s="13" t="n"/>
      <c r="D111" s="13" t="n"/>
      <c r="E111" s="13" t="n"/>
      <c r="F111" s="15" t="n"/>
      <c r="G111" s="19" t="n"/>
      <c r="H111" s="17">
        <f>IF(OR(F111="",G111=""),"",ROUND(F111*9.80665*TAN(RADIANS(G111)),3))</f>
        <v/>
      </c>
      <c r="I111" s="18">
        <f>IF(G111="","",IF(G111&lt;45,"適合","要確認"))</f>
        <v/>
      </c>
      <c r="J111" s="13" t="n"/>
      <c r="K111" s="13" t="n"/>
    </row>
    <row r="112">
      <c r="A112" s="13" t="n"/>
      <c r="B112" s="14" t="n"/>
      <c r="C112" s="13" t="n"/>
      <c r="D112" s="13" t="n"/>
      <c r="E112" s="13" t="n"/>
      <c r="F112" s="15" t="n"/>
      <c r="G112" s="19" t="n"/>
      <c r="H112" s="17">
        <f>IF(OR(F112="",G112=""),"",ROUND(F112*9.80665*TAN(RADIANS(G112)),3))</f>
        <v/>
      </c>
      <c r="I112" s="18">
        <f>IF(G112="","",IF(G112&lt;45,"適合","要確認"))</f>
        <v/>
      </c>
      <c r="J112" s="13" t="n"/>
      <c r="K112" s="13" t="n"/>
    </row>
    <row r="113">
      <c r="A113" s="13" t="n"/>
      <c r="B113" s="14" t="n"/>
      <c r="C113" s="13" t="n"/>
      <c r="D113" s="13" t="n"/>
      <c r="E113" s="13" t="n"/>
      <c r="F113" s="15" t="n"/>
      <c r="G113" s="19" t="n"/>
      <c r="H113" s="17">
        <f>IF(OR(F113="",G113=""),"",ROUND(F113*9.80665*TAN(RADIANS(G113)),3))</f>
        <v/>
      </c>
      <c r="I113" s="18">
        <f>IF(G113="","",IF(G113&lt;45,"適合","要確認"))</f>
        <v/>
      </c>
      <c r="J113" s="13" t="n"/>
      <c r="K113" s="13" t="n"/>
    </row>
    <row r="114">
      <c r="A114" s="13" t="n"/>
      <c r="B114" s="14" t="n"/>
      <c r="C114" s="13" t="n"/>
      <c r="D114" s="13" t="n"/>
      <c r="E114" s="13" t="n"/>
      <c r="F114" s="15" t="n"/>
      <c r="G114" s="19" t="n"/>
      <c r="H114" s="17">
        <f>IF(OR(F114="",G114=""),"",ROUND(F114*9.80665*TAN(RADIANS(G114)),3))</f>
        <v/>
      </c>
      <c r="I114" s="18">
        <f>IF(G114="","",IF(G114&lt;45,"適合","要確認"))</f>
        <v/>
      </c>
      <c r="J114" s="13" t="n"/>
      <c r="K114" s="13" t="n"/>
    </row>
    <row r="115">
      <c r="A115" s="13" t="n"/>
      <c r="B115" s="14" t="n"/>
      <c r="C115" s="13" t="n"/>
      <c r="D115" s="13" t="n"/>
      <c r="E115" s="13" t="n"/>
      <c r="F115" s="15" t="n"/>
      <c r="G115" s="19" t="n"/>
      <c r="H115" s="17">
        <f>IF(OR(F115="",G115=""),"",ROUND(F115*9.80665*TAN(RADIANS(G115)),3))</f>
        <v/>
      </c>
      <c r="I115" s="18">
        <f>IF(G115="","",IF(G115&lt;45,"適合","要確認"))</f>
        <v/>
      </c>
      <c r="J115" s="13" t="n"/>
      <c r="K115" s="13" t="n"/>
    </row>
    <row r="116">
      <c r="A116" s="13" t="n"/>
      <c r="B116" s="14" t="n"/>
      <c r="C116" s="13" t="n"/>
      <c r="D116" s="13" t="n"/>
      <c r="E116" s="13" t="n"/>
      <c r="F116" s="15" t="n"/>
      <c r="G116" s="19" t="n"/>
      <c r="H116" s="17">
        <f>IF(OR(F116="",G116=""),"",ROUND(F116*9.80665*TAN(RADIANS(G116)),3))</f>
        <v/>
      </c>
      <c r="I116" s="18">
        <f>IF(G116="","",IF(G116&lt;45,"適合","要確認"))</f>
        <v/>
      </c>
      <c r="J116" s="13" t="n"/>
      <c r="K116" s="13" t="n"/>
    </row>
    <row r="117">
      <c r="A117" s="13" t="n"/>
      <c r="B117" s="14" t="n"/>
      <c r="C117" s="13" t="n"/>
      <c r="D117" s="13" t="n"/>
      <c r="E117" s="13" t="n"/>
      <c r="F117" s="15" t="n"/>
      <c r="G117" s="19" t="n"/>
      <c r="H117" s="17">
        <f>IF(OR(F117="",G117=""),"",ROUND(F117*9.80665*TAN(RADIANS(G117)),3))</f>
        <v/>
      </c>
      <c r="I117" s="18">
        <f>IF(G117="","",IF(G117&lt;45,"適合","要確認"))</f>
        <v/>
      </c>
      <c r="J117" s="13" t="n"/>
      <c r="K117" s="13" t="n"/>
    </row>
    <row r="118">
      <c r="A118" s="13" t="n"/>
      <c r="B118" s="14" t="n"/>
      <c r="C118" s="13" t="n"/>
      <c r="D118" s="13" t="n"/>
      <c r="E118" s="13" t="n"/>
      <c r="F118" s="15" t="n"/>
      <c r="G118" s="19" t="n"/>
      <c r="H118" s="17">
        <f>IF(OR(F118="",G118=""),"",ROUND(F118*9.80665*TAN(RADIANS(G118)),3))</f>
        <v/>
      </c>
      <c r="I118" s="18">
        <f>IF(G118="","",IF(G118&lt;45,"適合","要確認"))</f>
        <v/>
      </c>
      <c r="J118" s="13" t="n"/>
      <c r="K118" s="13" t="n"/>
    </row>
    <row r="119">
      <c r="A119" s="13" t="n"/>
      <c r="B119" s="14" t="n"/>
      <c r="C119" s="13" t="n"/>
      <c r="D119" s="13" t="n"/>
      <c r="E119" s="13" t="n"/>
      <c r="F119" s="15" t="n"/>
      <c r="G119" s="19" t="n"/>
      <c r="H119" s="17">
        <f>IF(OR(F119="",G119=""),"",ROUND(F119*9.80665*TAN(RADIANS(G119)),3))</f>
        <v/>
      </c>
      <c r="I119" s="18">
        <f>IF(G119="","",IF(G119&lt;45,"適合","要確認"))</f>
        <v/>
      </c>
      <c r="J119" s="13" t="n"/>
      <c r="K119" s="13" t="n"/>
    </row>
    <row r="120">
      <c r="A120" s="13" t="n"/>
      <c r="B120" s="14" t="n"/>
      <c r="C120" s="13" t="n"/>
      <c r="D120" s="13" t="n"/>
      <c r="E120" s="13" t="n"/>
      <c r="F120" s="15" t="n"/>
      <c r="G120" s="19" t="n"/>
      <c r="H120" s="17">
        <f>IF(OR(F120="",G120=""),"",ROUND(F120*9.80665*TAN(RADIANS(G120)),3))</f>
        <v/>
      </c>
      <c r="I120" s="18">
        <f>IF(G120="","",IF(G120&lt;45,"適合","要確認"))</f>
        <v/>
      </c>
      <c r="J120" s="13" t="n"/>
      <c r="K120" s="13" t="n"/>
    </row>
    <row r="121">
      <c r="A121" s="13" t="n"/>
      <c r="B121" s="14" t="n"/>
      <c r="C121" s="13" t="n"/>
      <c r="D121" s="13" t="n"/>
      <c r="E121" s="13" t="n"/>
      <c r="F121" s="15" t="n"/>
      <c r="G121" s="19" t="n"/>
      <c r="H121" s="17">
        <f>IF(OR(F121="",G121=""),"",ROUND(F121*9.80665*TAN(RADIANS(G121)),3))</f>
        <v/>
      </c>
      <c r="I121" s="18">
        <f>IF(G121="","",IF(G121&lt;45,"適合","要確認"))</f>
        <v/>
      </c>
      <c r="J121" s="13" t="n"/>
      <c r="K121" s="13" t="n"/>
    </row>
    <row r="122">
      <c r="A122" s="13" t="n"/>
      <c r="B122" s="14" t="n"/>
      <c r="C122" s="13" t="n"/>
      <c r="D122" s="13" t="n"/>
      <c r="E122" s="13" t="n"/>
      <c r="F122" s="15" t="n"/>
      <c r="G122" s="19" t="n"/>
      <c r="H122" s="17">
        <f>IF(OR(F122="",G122=""),"",ROUND(F122*9.80665*TAN(RADIANS(G122)),3))</f>
        <v/>
      </c>
      <c r="I122" s="18">
        <f>IF(G122="","",IF(G122&lt;45,"適合","要確認"))</f>
        <v/>
      </c>
      <c r="J122" s="13" t="n"/>
      <c r="K122" s="13" t="n"/>
    </row>
    <row r="123">
      <c r="A123" s="13" t="n"/>
      <c r="B123" s="14" t="n"/>
      <c r="C123" s="13" t="n"/>
      <c r="D123" s="13" t="n"/>
      <c r="E123" s="13" t="n"/>
      <c r="F123" s="15" t="n"/>
      <c r="G123" s="19" t="n"/>
      <c r="H123" s="17">
        <f>IF(OR(F123="",G123=""),"",ROUND(F123*9.80665*TAN(RADIANS(G123)),3))</f>
        <v/>
      </c>
      <c r="I123" s="18">
        <f>IF(G123="","",IF(G123&lt;45,"適合","要確認"))</f>
        <v/>
      </c>
      <c r="J123" s="13" t="n"/>
      <c r="K123" s="13" t="n"/>
    </row>
    <row r="124">
      <c r="A124" s="13" t="n"/>
      <c r="B124" s="14" t="n"/>
      <c r="C124" s="13" t="n"/>
      <c r="D124" s="13" t="n"/>
      <c r="E124" s="13" t="n"/>
      <c r="F124" s="15" t="n"/>
      <c r="G124" s="19" t="n"/>
      <c r="H124" s="17">
        <f>IF(OR(F124="",G124=""),"",ROUND(F124*9.80665*TAN(RADIANS(G124)),3))</f>
        <v/>
      </c>
      <c r="I124" s="18">
        <f>IF(G124="","",IF(G124&lt;45,"適合","要確認"))</f>
        <v/>
      </c>
      <c r="J124" s="13" t="n"/>
      <c r="K124" s="13" t="n"/>
    </row>
    <row r="125">
      <c r="A125" s="13" t="n"/>
      <c r="B125" s="14" t="n"/>
      <c r="C125" s="13" t="n"/>
      <c r="D125" s="13" t="n"/>
      <c r="E125" s="13" t="n"/>
      <c r="F125" s="15" t="n"/>
      <c r="G125" s="19" t="n"/>
      <c r="H125" s="17">
        <f>IF(OR(F125="",G125=""),"",ROUND(F125*9.80665*TAN(RADIANS(G125)),3))</f>
        <v/>
      </c>
      <c r="I125" s="18">
        <f>IF(G125="","",IF(G125&lt;45,"適合","要確認"))</f>
        <v/>
      </c>
      <c r="J125" s="13" t="n"/>
      <c r="K125" s="13" t="n"/>
    </row>
    <row r="126">
      <c r="A126" s="13" t="n"/>
      <c r="B126" s="14" t="n"/>
      <c r="C126" s="13" t="n"/>
      <c r="D126" s="13" t="n"/>
      <c r="E126" s="13" t="n"/>
      <c r="F126" s="15" t="n"/>
      <c r="G126" s="19" t="n"/>
      <c r="H126" s="17">
        <f>IF(OR(F126="",G126=""),"",ROUND(F126*9.80665*TAN(RADIANS(G126)),3))</f>
        <v/>
      </c>
      <c r="I126" s="18">
        <f>IF(G126="","",IF(G126&lt;45,"適合","要確認"))</f>
        <v/>
      </c>
      <c r="J126" s="13" t="n"/>
      <c r="K126" s="13" t="n"/>
    </row>
    <row r="127">
      <c r="A127" s="13" t="n"/>
      <c r="B127" s="14" t="n"/>
      <c r="C127" s="13" t="n"/>
      <c r="D127" s="13" t="n"/>
      <c r="E127" s="13" t="n"/>
      <c r="F127" s="15" t="n"/>
      <c r="G127" s="19" t="n"/>
      <c r="H127" s="17">
        <f>IF(OR(F127="",G127=""),"",ROUND(F127*9.80665*TAN(RADIANS(G127)),3))</f>
        <v/>
      </c>
      <c r="I127" s="18">
        <f>IF(G127="","",IF(G127&lt;45,"適合","要確認"))</f>
        <v/>
      </c>
      <c r="J127" s="13" t="n"/>
      <c r="K127" s="13" t="n"/>
    </row>
    <row r="128">
      <c r="A128" s="13" t="n"/>
      <c r="B128" s="14" t="n"/>
      <c r="C128" s="13" t="n"/>
      <c r="D128" s="13" t="n"/>
      <c r="E128" s="13" t="n"/>
      <c r="F128" s="15" t="n"/>
      <c r="G128" s="19" t="n"/>
      <c r="H128" s="17">
        <f>IF(OR(F128="",G128=""),"",ROUND(F128*9.80665*TAN(RADIANS(G128)),3))</f>
        <v/>
      </c>
      <c r="I128" s="18">
        <f>IF(G128="","",IF(G128&lt;45,"適合","要確認"))</f>
        <v/>
      </c>
      <c r="J128" s="13" t="n"/>
      <c r="K128" s="13" t="n"/>
    </row>
    <row r="129">
      <c r="A129" s="13" t="n"/>
      <c r="B129" s="14" t="n"/>
      <c r="C129" s="13" t="n"/>
      <c r="D129" s="13" t="n"/>
      <c r="E129" s="13" t="n"/>
      <c r="F129" s="15" t="n"/>
      <c r="G129" s="19" t="n"/>
      <c r="H129" s="17">
        <f>IF(OR(F129="",G129=""),"",ROUND(F129*9.80665*TAN(RADIANS(G129)),3))</f>
        <v/>
      </c>
      <c r="I129" s="18">
        <f>IF(G129="","",IF(G129&lt;45,"適合","要確認"))</f>
        <v/>
      </c>
      <c r="J129" s="13" t="n"/>
      <c r="K129" s="13" t="n"/>
    </row>
    <row r="130">
      <c r="A130" s="13" t="n"/>
      <c r="B130" s="14" t="n"/>
      <c r="C130" s="13" t="n"/>
      <c r="D130" s="13" t="n"/>
      <c r="E130" s="13" t="n"/>
      <c r="F130" s="15" t="n"/>
      <c r="G130" s="19" t="n"/>
      <c r="H130" s="17">
        <f>IF(OR(F130="",G130=""),"",ROUND(F130*9.80665*TAN(RADIANS(G130)),3))</f>
        <v/>
      </c>
      <c r="I130" s="18">
        <f>IF(G130="","",IF(G130&lt;45,"適合","要確認"))</f>
        <v/>
      </c>
      <c r="J130" s="13" t="n"/>
      <c r="K130" s="13" t="n"/>
    </row>
    <row r="131">
      <c r="A131" s="13" t="n"/>
      <c r="B131" s="14" t="n"/>
      <c r="C131" s="13" t="n"/>
      <c r="D131" s="13" t="n"/>
      <c r="E131" s="13" t="n"/>
      <c r="F131" s="15" t="n"/>
      <c r="G131" s="19" t="n"/>
      <c r="H131" s="17">
        <f>IF(OR(F131="",G131=""),"",ROUND(F131*9.80665*TAN(RADIANS(G131)),3))</f>
        <v/>
      </c>
      <c r="I131" s="18">
        <f>IF(G131="","",IF(G131&lt;45,"適合","要確認"))</f>
        <v/>
      </c>
      <c r="J131" s="13" t="n"/>
      <c r="K131" s="13" t="n"/>
    </row>
    <row r="132">
      <c r="A132" s="13" t="n"/>
      <c r="B132" s="14" t="n"/>
      <c r="C132" s="13" t="n"/>
      <c r="D132" s="13" t="n"/>
      <c r="E132" s="13" t="n"/>
      <c r="F132" s="15" t="n"/>
      <c r="G132" s="19" t="n"/>
      <c r="H132" s="17">
        <f>IF(OR(F132="",G132=""),"",ROUND(F132*9.80665*TAN(RADIANS(G132)),3))</f>
        <v/>
      </c>
      <c r="I132" s="18">
        <f>IF(G132="","",IF(G132&lt;45,"適合","要確認"))</f>
        <v/>
      </c>
      <c r="J132" s="13" t="n"/>
      <c r="K132" s="13" t="n"/>
    </row>
    <row r="133">
      <c r="A133" s="13" t="n"/>
      <c r="B133" s="14" t="n"/>
      <c r="C133" s="13" t="n"/>
      <c r="D133" s="13" t="n"/>
      <c r="E133" s="13" t="n"/>
      <c r="F133" s="15" t="n"/>
      <c r="G133" s="19" t="n"/>
      <c r="H133" s="17">
        <f>IF(OR(F133="",G133=""),"",ROUND(F133*9.80665*TAN(RADIANS(G133)),3))</f>
        <v/>
      </c>
      <c r="I133" s="18">
        <f>IF(G133="","",IF(G133&lt;45,"適合","要確認"))</f>
        <v/>
      </c>
      <c r="J133" s="13" t="n"/>
      <c r="K133" s="13" t="n"/>
    </row>
    <row r="134">
      <c r="A134" s="13" t="n"/>
      <c r="B134" s="14" t="n"/>
      <c r="C134" s="13" t="n"/>
      <c r="D134" s="13" t="n"/>
      <c r="E134" s="13" t="n"/>
      <c r="F134" s="15" t="n"/>
      <c r="G134" s="19" t="n"/>
      <c r="H134" s="17">
        <f>IF(OR(F134="",G134=""),"",ROUND(F134*9.80665*TAN(RADIANS(G134)),3))</f>
        <v/>
      </c>
      <c r="I134" s="18">
        <f>IF(G134="","",IF(G134&lt;45,"適合","要確認"))</f>
        <v/>
      </c>
      <c r="J134" s="13" t="n"/>
      <c r="K134" s="13" t="n"/>
    </row>
    <row r="135">
      <c r="A135" s="13" t="n"/>
      <c r="B135" s="14" t="n"/>
      <c r="C135" s="13" t="n"/>
      <c r="D135" s="13" t="n"/>
      <c r="E135" s="13" t="n"/>
      <c r="F135" s="15" t="n"/>
      <c r="G135" s="19" t="n"/>
      <c r="H135" s="17">
        <f>IF(OR(F135="",G135=""),"",ROUND(F135*9.80665*TAN(RADIANS(G135)),3))</f>
        <v/>
      </c>
      <c r="I135" s="18">
        <f>IF(G135="","",IF(G135&lt;45,"適合","要確認"))</f>
        <v/>
      </c>
      <c r="J135" s="13" t="n"/>
      <c r="K135" s="13" t="n"/>
    </row>
    <row r="136">
      <c r="A136" s="13" t="n"/>
      <c r="B136" s="14" t="n"/>
      <c r="C136" s="13" t="n"/>
      <c r="D136" s="13" t="n"/>
      <c r="E136" s="13" t="n"/>
      <c r="F136" s="15" t="n"/>
      <c r="G136" s="19" t="n"/>
      <c r="H136" s="17">
        <f>IF(OR(F136="",G136=""),"",ROUND(F136*9.80665*TAN(RADIANS(G136)),3))</f>
        <v/>
      </c>
      <c r="I136" s="18">
        <f>IF(G136="","",IF(G136&lt;45,"適合","要確認"))</f>
        <v/>
      </c>
      <c r="J136" s="13" t="n"/>
      <c r="K136" s="13" t="n"/>
    </row>
    <row r="137">
      <c r="A137" s="13" t="n"/>
      <c r="B137" s="14" t="n"/>
      <c r="C137" s="13" t="n"/>
      <c r="D137" s="13" t="n"/>
      <c r="E137" s="13" t="n"/>
      <c r="F137" s="15" t="n"/>
      <c r="G137" s="19" t="n"/>
      <c r="H137" s="17">
        <f>IF(OR(F137="",G137=""),"",ROUND(F137*9.80665*TAN(RADIANS(G137)),3))</f>
        <v/>
      </c>
      <c r="I137" s="18">
        <f>IF(G137="","",IF(G137&lt;45,"適合","要確認"))</f>
        <v/>
      </c>
      <c r="J137" s="13" t="n"/>
      <c r="K137" s="13" t="n"/>
    </row>
    <row r="138">
      <c r="A138" s="13" t="n"/>
      <c r="B138" s="14" t="n"/>
      <c r="C138" s="13" t="n"/>
      <c r="D138" s="13" t="n"/>
      <c r="E138" s="13" t="n"/>
      <c r="F138" s="15" t="n"/>
      <c r="G138" s="19" t="n"/>
      <c r="H138" s="17">
        <f>IF(OR(F138="",G138=""),"",ROUND(F138*9.80665*TAN(RADIANS(G138)),3))</f>
        <v/>
      </c>
      <c r="I138" s="18">
        <f>IF(G138="","",IF(G138&lt;45,"適合","要確認"))</f>
        <v/>
      </c>
      <c r="J138" s="13" t="n"/>
      <c r="K138" s="13" t="n"/>
    </row>
    <row r="139">
      <c r="A139" s="13" t="n"/>
      <c r="B139" s="14" t="n"/>
      <c r="C139" s="13" t="n"/>
      <c r="D139" s="13" t="n"/>
      <c r="E139" s="13" t="n"/>
      <c r="F139" s="15" t="n"/>
      <c r="G139" s="19" t="n"/>
      <c r="H139" s="17">
        <f>IF(OR(F139="",G139=""),"",ROUND(F139*9.80665*TAN(RADIANS(G139)),3))</f>
        <v/>
      </c>
      <c r="I139" s="18">
        <f>IF(G139="","",IF(G139&lt;45,"適合","要確認"))</f>
        <v/>
      </c>
      <c r="J139" s="13" t="n"/>
      <c r="K139" s="13" t="n"/>
    </row>
    <row r="140">
      <c r="A140" s="13" t="n"/>
      <c r="B140" s="14" t="n"/>
      <c r="C140" s="13" t="n"/>
      <c r="D140" s="13" t="n"/>
      <c r="E140" s="13" t="n"/>
      <c r="F140" s="15" t="n"/>
      <c r="G140" s="19" t="n"/>
      <c r="H140" s="17">
        <f>IF(OR(F140="",G140=""),"",ROUND(F140*9.80665*TAN(RADIANS(G140)),3))</f>
        <v/>
      </c>
      <c r="I140" s="18">
        <f>IF(G140="","",IF(G140&lt;45,"適合","要確認"))</f>
        <v/>
      </c>
      <c r="J140" s="13" t="n"/>
      <c r="K140" s="13" t="n"/>
    </row>
    <row r="141">
      <c r="A141" s="13" t="n"/>
      <c r="B141" s="14" t="n"/>
      <c r="C141" s="13" t="n"/>
      <c r="D141" s="13" t="n"/>
      <c r="E141" s="13" t="n"/>
      <c r="F141" s="15" t="n"/>
      <c r="G141" s="19" t="n"/>
      <c r="H141" s="17">
        <f>IF(OR(F141="",G141=""),"",ROUND(F141*9.80665*TAN(RADIANS(G141)),3))</f>
        <v/>
      </c>
      <c r="I141" s="18">
        <f>IF(G141="","",IF(G141&lt;45,"適合","要確認"))</f>
        <v/>
      </c>
      <c r="J141" s="13" t="n"/>
      <c r="K141" s="13" t="n"/>
    </row>
    <row r="142">
      <c r="A142" s="13" t="n"/>
      <c r="B142" s="14" t="n"/>
      <c r="C142" s="13" t="n"/>
      <c r="D142" s="13" t="n"/>
      <c r="E142" s="13" t="n"/>
      <c r="F142" s="15" t="n"/>
      <c r="G142" s="19" t="n"/>
      <c r="H142" s="17">
        <f>IF(OR(F142="",G142=""),"",ROUND(F142*9.80665*TAN(RADIANS(G142)),3))</f>
        <v/>
      </c>
      <c r="I142" s="18">
        <f>IF(G142="","",IF(G142&lt;45,"適合","要確認"))</f>
        <v/>
      </c>
      <c r="J142" s="13" t="n"/>
      <c r="K142" s="13" t="n"/>
    </row>
    <row r="143">
      <c r="A143" s="13" t="n"/>
      <c r="B143" s="14" t="n"/>
      <c r="C143" s="13" t="n"/>
      <c r="D143" s="13" t="n"/>
      <c r="E143" s="13" t="n"/>
      <c r="F143" s="15" t="n"/>
      <c r="G143" s="19" t="n"/>
      <c r="H143" s="17">
        <f>IF(OR(F143="",G143=""),"",ROUND(F143*9.80665*TAN(RADIANS(G143)),3))</f>
        <v/>
      </c>
      <c r="I143" s="18">
        <f>IF(G143="","",IF(G143&lt;45,"適合","要確認"))</f>
        <v/>
      </c>
      <c r="J143" s="13" t="n"/>
      <c r="K143" s="13" t="n"/>
    </row>
    <row r="144">
      <c r="A144" s="13" t="n"/>
      <c r="B144" s="14" t="n"/>
      <c r="C144" s="13" t="n"/>
      <c r="D144" s="13" t="n"/>
      <c r="E144" s="13" t="n"/>
      <c r="F144" s="15" t="n"/>
      <c r="G144" s="19" t="n"/>
      <c r="H144" s="17">
        <f>IF(OR(F144="",G144=""),"",ROUND(F144*9.80665*TAN(RADIANS(G144)),3))</f>
        <v/>
      </c>
      <c r="I144" s="18">
        <f>IF(G144="","",IF(G144&lt;45,"適合","要確認"))</f>
        <v/>
      </c>
      <c r="J144" s="13" t="n"/>
      <c r="K144" s="13" t="n"/>
    </row>
    <row r="145">
      <c r="A145" s="13" t="n"/>
      <c r="B145" s="14" t="n"/>
      <c r="C145" s="13" t="n"/>
      <c r="D145" s="13" t="n"/>
      <c r="E145" s="13" t="n"/>
      <c r="F145" s="15" t="n"/>
      <c r="G145" s="19" t="n"/>
      <c r="H145" s="17">
        <f>IF(OR(F145="",G145=""),"",ROUND(F145*9.80665*TAN(RADIANS(G145)),3))</f>
        <v/>
      </c>
      <c r="I145" s="18">
        <f>IF(G145="","",IF(G145&lt;45,"適合","要確認"))</f>
        <v/>
      </c>
      <c r="J145" s="13" t="n"/>
      <c r="K145" s="13" t="n"/>
    </row>
    <row r="146">
      <c r="A146" s="13" t="n"/>
      <c r="B146" s="14" t="n"/>
      <c r="C146" s="13" t="n"/>
      <c r="D146" s="13" t="n"/>
      <c r="E146" s="13" t="n"/>
      <c r="F146" s="15" t="n"/>
      <c r="G146" s="19" t="n"/>
      <c r="H146" s="17">
        <f>IF(OR(F146="",G146=""),"",ROUND(F146*9.80665*TAN(RADIANS(G146)),3))</f>
        <v/>
      </c>
      <c r="I146" s="18">
        <f>IF(G146="","",IF(G146&lt;45,"適合","要確認"))</f>
        <v/>
      </c>
      <c r="J146" s="13" t="n"/>
      <c r="K146" s="13" t="n"/>
    </row>
    <row r="147">
      <c r="A147" s="13" t="n"/>
      <c r="B147" s="14" t="n"/>
      <c r="C147" s="13" t="n"/>
      <c r="D147" s="13" t="n"/>
      <c r="E147" s="13" t="n"/>
      <c r="F147" s="15" t="n"/>
      <c r="G147" s="19" t="n"/>
      <c r="H147" s="17">
        <f>IF(OR(F147="",G147=""),"",ROUND(F147*9.80665*TAN(RADIANS(G147)),3))</f>
        <v/>
      </c>
      <c r="I147" s="18">
        <f>IF(G147="","",IF(G147&lt;45,"適合","要確認"))</f>
        <v/>
      </c>
      <c r="J147" s="13" t="n"/>
      <c r="K147" s="13" t="n"/>
    </row>
    <row r="148">
      <c r="A148" s="13" t="n"/>
      <c r="B148" s="14" t="n"/>
      <c r="C148" s="13" t="n"/>
      <c r="D148" s="13" t="n"/>
      <c r="E148" s="13" t="n"/>
      <c r="F148" s="15" t="n"/>
      <c r="G148" s="19" t="n"/>
      <c r="H148" s="17">
        <f>IF(OR(F148="",G148=""),"",ROUND(F148*9.80665*TAN(RADIANS(G148)),3))</f>
        <v/>
      </c>
      <c r="I148" s="18">
        <f>IF(G148="","",IF(G148&lt;45,"適合","要確認"))</f>
        <v/>
      </c>
      <c r="J148" s="13" t="n"/>
      <c r="K148" s="13" t="n"/>
    </row>
    <row r="149">
      <c r="A149" s="13" t="n"/>
      <c r="B149" s="14" t="n"/>
      <c r="C149" s="13" t="n"/>
      <c r="D149" s="13" t="n"/>
      <c r="E149" s="13" t="n"/>
      <c r="F149" s="15" t="n"/>
      <c r="G149" s="19" t="n"/>
      <c r="H149" s="17">
        <f>IF(OR(F149="",G149=""),"",ROUND(F149*9.80665*TAN(RADIANS(G149)),3))</f>
        <v/>
      </c>
      <c r="I149" s="18">
        <f>IF(G149="","",IF(G149&lt;45,"適合","要確認"))</f>
        <v/>
      </c>
      <c r="J149" s="13" t="n"/>
      <c r="K149" s="13" t="n"/>
    </row>
    <row r="150">
      <c r="A150" s="13" t="n"/>
      <c r="B150" s="14" t="n"/>
      <c r="C150" s="13" t="n"/>
      <c r="D150" s="13" t="n"/>
      <c r="E150" s="13" t="n"/>
      <c r="F150" s="15" t="n"/>
      <c r="G150" s="19" t="n"/>
      <c r="H150" s="17">
        <f>IF(OR(F150="",G150=""),"",ROUND(F150*9.80665*TAN(RADIANS(G150)),3))</f>
        <v/>
      </c>
      <c r="I150" s="18">
        <f>IF(G150="","",IF(G150&lt;45,"適合","要確認"))</f>
        <v/>
      </c>
      <c r="J150" s="13" t="n"/>
      <c r="K150" s="13" t="n"/>
    </row>
    <row r="151">
      <c r="A151" s="13" t="n"/>
      <c r="B151" s="14" t="n"/>
      <c r="C151" s="13" t="n"/>
      <c r="D151" s="13" t="n"/>
      <c r="E151" s="13" t="n"/>
      <c r="F151" s="15" t="n"/>
      <c r="G151" s="19" t="n"/>
      <c r="H151" s="17">
        <f>IF(OR(F151="",G151=""),"",ROUND(F151*9.80665*TAN(RADIANS(G151)),3))</f>
        <v/>
      </c>
      <c r="I151" s="18">
        <f>IF(G151="","",IF(G151&lt;45,"適合","要確認"))</f>
        <v/>
      </c>
      <c r="J151" s="13" t="n"/>
      <c r="K151" s="13" t="n"/>
    </row>
    <row r="152">
      <c r="A152" s="13" t="n"/>
      <c r="B152" s="14" t="n"/>
      <c r="C152" s="13" t="n"/>
      <c r="D152" s="13" t="n"/>
      <c r="E152" s="13" t="n"/>
      <c r="F152" s="15" t="n"/>
      <c r="G152" s="19" t="n"/>
      <c r="H152" s="17">
        <f>IF(OR(F152="",G152=""),"",ROUND(F152*9.80665*TAN(RADIANS(G152)),3))</f>
        <v/>
      </c>
      <c r="I152" s="18">
        <f>IF(G152="","",IF(G152&lt;45,"適合","要確認"))</f>
        <v/>
      </c>
      <c r="J152" s="13" t="n"/>
      <c r="K152" s="13" t="n"/>
    </row>
    <row r="153">
      <c r="A153" s="13" t="n"/>
      <c r="B153" s="14" t="n"/>
      <c r="C153" s="13" t="n"/>
      <c r="D153" s="13" t="n"/>
      <c r="E153" s="13" t="n"/>
      <c r="F153" s="15" t="n"/>
      <c r="G153" s="19" t="n"/>
      <c r="H153" s="17">
        <f>IF(OR(F153="",G153=""),"",ROUND(F153*9.80665*TAN(RADIANS(G153)),3))</f>
        <v/>
      </c>
      <c r="I153" s="18">
        <f>IF(G153="","",IF(G153&lt;45,"適合","要確認"))</f>
        <v/>
      </c>
      <c r="J153" s="13" t="n"/>
      <c r="K153" s="13" t="n"/>
    </row>
    <row r="154">
      <c r="A154" s="13" t="n"/>
      <c r="B154" s="14" t="n"/>
      <c r="C154" s="13" t="n"/>
      <c r="D154" s="13" t="n"/>
      <c r="E154" s="13" t="n"/>
      <c r="F154" s="15" t="n"/>
      <c r="G154" s="19" t="n"/>
      <c r="H154" s="17">
        <f>IF(OR(F154="",G154=""),"",ROUND(F154*9.80665*TAN(RADIANS(G154)),3))</f>
        <v/>
      </c>
      <c r="I154" s="18">
        <f>IF(G154="","",IF(G154&lt;45,"適合","要確認"))</f>
        <v/>
      </c>
      <c r="J154" s="13" t="n"/>
      <c r="K154" s="13" t="n"/>
    </row>
    <row r="155">
      <c r="A155" s="13" t="n"/>
      <c r="B155" s="14" t="n"/>
      <c r="C155" s="13" t="n"/>
      <c r="D155" s="13" t="n"/>
      <c r="E155" s="13" t="n"/>
      <c r="F155" s="15" t="n"/>
      <c r="G155" s="19" t="n"/>
      <c r="H155" s="17">
        <f>IF(OR(F155="",G155=""),"",ROUND(F155*9.80665*TAN(RADIANS(G155)),3))</f>
        <v/>
      </c>
      <c r="I155" s="18">
        <f>IF(G155="","",IF(G155&lt;45,"適合","要確認"))</f>
        <v/>
      </c>
      <c r="J155" s="13" t="n"/>
      <c r="K155" s="13" t="n"/>
    </row>
    <row r="156">
      <c r="A156" s="13" t="n"/>
      <c r="B156" s="14" t="n"/>
      <c r="C156" s="13" t="n"/>
      <c r="D156" s="13" t="n"/>
      <c r="E156" s="13" t="n"/>
      <c r="F156" s="15" t="n"/>
      <c r="G156" s="19" t="n"/>
      <c r="H156" s="17">
        <f>IF(OR(F156="",G156=""),"",ROUND(F156*9.80665*TAN(RADIANS(G156)),3))</f>
        <v/>
      </c>
      <c r="I156" s="18">
        <f>IF(G156="","",IF(G156&lt;45,"適合","要確認"))</f>
        <v/>
      </c>
      <c r="J156" s="13" t="n"/>
      <c r="K156" s="13" t="n"/>
    </row>
    <row r="157">
      <c r="A157" s="13" t="n"/>
      <c r="B157" s="14" t="n"/>
      <c r="C157" s="13" t="n"/>
      <c r="D157" s="13" t="n"/>
      <c r="E157" s="13" t="n"/>
      <c r="F157" s="15" t="n"/>
      <c r="G157" s="19" t="n"/>
      <c r="H157" s="17">
        <f>IF(OR(F157="",G157=""),"",ROUND(F157*9.80665*TAN(RADIANS(G157)),3))</f>
        <v/>
      </c>
      <c r="I157" s="18">
        <f>IF(G157="","",IF(G157&lt;45,"適合","要確認"))</f>
        <v/>
      </c>
      <c r="J157" s="13" t="n"/>
      <c r="K157" s="13" t="n"/>
    </row>
    <row r="158">
      <c r="A158" s="13" t="n"/>
      <c r="B158" s="14" t="n"/>
      <c r="C158" s="13" t="n"/>
      <c r="D158" s="13" t="n"/>
      <c r="E158" s="13" t="n"/>
      <c r="F158" s="15" t="n"/>
      <c r="G158" s="19" t="n"/>
      <c r="H158" s="17">
        <f>IF(OR(F158="",G158=""),"",ROUND(F158*9.80665*TAN(RADIANS(G158)),3))</f>
        <v/>
      </c>
      <c r="I158" s="18">
        <f>IF(G158="","",IF(G158&lt;45,"適合","要確認"))</f>
        <v/>
      </c>
      <c r="J158" s="13" t="n"/>
      <c r="K158" s="13" t="n"/>
    </row>
    <row r="159">
      <c r="A159" s="13" t="n"/>
      <c r="B159" s="14" t="n"/>
      <c r="C159" s="13" t="n"/>
      <c r="D159" s="13" t="n"/>
      <c r="E159" s="13" t="n"/>
      <c r="F159" s="15" t="n"/>
      <c r="G159" s="19" t="n"/>
      <c r="H159" s="17">
        <f>IF(OR(F159="",G159=""),"",ROUND(F159*9.80665*TAN(RADIANS(G159)),3))</f>
        <v/>
      </c>
      <c r="I159" s="18">
        <f>IF(G159="","",IF(G159&lt;45,"適合","要確認"))</f>
        <v/>
      </c>
      <c r="J159" s="13" t="n"/>
      <c r="K159" s="13" t="n"/>
    </row>
    <row r="160">
      <c r="A160" s="13" t="n"/>
      <c r="B160" s="14" t="n"/>
      <c r="C160" s="13" t="n"/>
      <c r="D160" s="13" t="n"/>
      <c r="E160" s="13" t="n"/>
      <c r="F160" s="15" t="n"/>
      <c r="G160" s="19" t="n"/>
      <c r="H160" s="17">
        <f>IF(OR(F160="",G160=""),"",ROUND(F160*9.80665*TAN(RADIANS(G160)),3))</f>
        <v/>
      </c>
      <c r="I160" s="18">
        <f>IF(G160="","",IF(G160&lt;45,"適合","要確認"))</f>
        <v/>
      </c>
      <c r="J160" s="13" t="n"/>
      <c r="K160" s="13" t="n"/>
    </row>
    <row r="161">
      <c r="A161" s="13" t="n"/>
      <c r="B161" s="14" t="n"/>
      <c r="C161" s="13" t="n"/>
      <c r="D161" s="13" t="n"/>
      <c r="E161" s="13" t="n"/>
      <c r="F161" s="15" t="n"/>
      <c r="G161" s="19" t="n"/>
      <c r="H161" s="17">
        <f>IF(OR(F161="",G161=""),"",ROUND(F161*9.80665*TAN(RADIANS(G161)),3))</f>
        <v/>
      </c>
      <c r="I161" s="18">
        <f>IF(G161="","",IF(G161&lt;45,"適合","要確認"))</f>
        <v/>
      </c>
      <c r="J161" s="13" t="n"/>
      <c r="K161" s="13" t="n"/>
    </row>
    <row r="162">
      <c r="A162" s="13" t="n"/>
      <c r="B162" s="14" t="n"/>
      <c r="C162" s="13" t="n"/>
      <c r="D162" s="13" t="n"/>
      <c r="E162" s="13" t="n"/>
      <c r="F162" s="15" t="n"/>
      <c r="G162" s="19" t="n"/>
      <c r="H162" s="17">
        <f>IF(OR(F162="",G162=""),"",ROUND(F162*9.80665*TAN(RADIANS(G162)),3))</f>
        <v/>
      </c>
      <c r="I162" s="18">
        <f>IF(G162="","",IF(G162&lt;45,"適合","要確認"))</f>
        <v/>
      </c>
      <c r="J162" s="13" t="n"/>
      <c r="K162" s="13" t="n"/>
    </row>
    <row r="163">
      <c r="A163" s="13" t="n"/>
      <c r="B163" s="14" t="n"/>
      <c r="C163" s="13" t="n"/>
      <c r="D163" s="13" t="n"/>
      <c r="E163" s="13" t="n"/>
      <c r="F163" s="15" t="n"/>
      <c r="G163" s="19" t="n"/>
      <c r="H163" s="17">
        <f>IF(OR(F163="",G163=""),"",ROUND(F163*9.80665*TAN(RADIANS(G163)),3))</f>
        <v/>
      </c>
      <c r="I163" s="18">
        <f>IF(G163="","",IF(G163&lt;45,"適合","要確認"))</f>
        <v/>
      </c>
      <c r="J163" s="13" t="n"/>
      <c r="K163" s="13" t="n"/>
    </row>
    <row r="164">
      <c r="A164" s="13" t="n"/>
      <c r="B164" s="14" t="n"/>
      <c r="C164" s="13" t="n"/>
      <c r="D164" s="13" t="n"/>
      <c r="E164" s="13" t="n"/>
      <c r="F164" s="15" t="n"/>
      <c r="G164" s="19" t="n"/>
      <c r="H164" s="17">
        <f>IF(OR(F164="",G164=""),"",ROUND(F164*9.80665*TAN(RADIANS(G164)),3))</f>
        <v/>
      </c>
      <c r="I164" s="18">
        <f>IF(G164="","",IF(G164&lt;45,"適合","要確認"))</f>
        <v/>
      </c>
      <c r="J164" s="13" t="n"/>
      <c r="K164" s="13" t="n"/>
    </row>
    <row r="165">
      <c r="A165" s="13" t="n"/>
      <c r="B165" s="14" t="n"/>
      <c r="C165" s="13" t="n"/>
      <c r="D165" s="13" t="n"/>
      <c r="E165" s="13" t="n"/>
      <c r="F165" s="15" t="n"/>
      <c r="G165" s="19" t="n"/>
      <c r="H165" s="17">
        <f>IF(OR(F165="",G165=""),"",ROUND(F165*9.80665*TAN(RADIANS(G165)),3))</f>
        <v/>
      </c>
      <c r="I165" s="18">
        <f>IF(G165="","",IF(G165&lt;45,"適合","要確認"))</f>
        <v/>
      </c>
      <c r="J165" s="13" t="n"/>
      <c r="K165" s="13" t="n"/>
    </row>
    <row r="166">
      <c r="A166" s="13" t="n"/>
      <c r="B166" s="14" t="n"/>
      <c r="C166" s="13" t="n"/>
      <c r="D166" s="13" t="n"/>
      <c r="E166" s="13" t="n"/>
      <c r="F166" s="15" t="n"/>
      <c r="G166" s="19" t="n"/>
      <c r="H166" s="17">
        <f>IF(OR(F166="",G166=""),"",ROUND(F166*9.80665*TAN(RADIANS(G166)),3))</f>
        <v/>
      </c>
      <c r="I166" s="18">
        <f>IF(G166="","",IF(G166&lt;45,"適合","要確認"))</f>
        <v/>
      </c>
      <c r="J166" s="13" t="n"/>
      <c r="K166" s="13" t="n"/>
    </row>
    <row r="167">
      <c r="A167" s="13" t="n"/>
      <c r="B167" s="14" t="n"/>
      <c r="C167" s="13" t="n"/>
      <c r="D167" s="13" t="n"/>
      <c r="E167" s="13" t="n"/>
      <c r="F167" s="15" t="n"/>
      <c r="G167" s="19" t="n"/>
      <c r="H167" s="17">
        <f>IF(OR(F167="",G167=""),"",ROUND(F167*9.80665*TAN(RADIANS(G167)),3))</f>
        <v/>
      </c>
      <c r="I167" s="18">
        <f>IF(G167="","",IF(G167&lt;45,"適合","要確認"))</f>
        <v/>
      </c>
      <c r="J167" s="13" t="n"/>
      <c r="K167" s="13" t="n"/>
    </row>
    <row r="168">
      <c r="A168" s="13" t="n"/>
      <c r="B168" s="14" t="n"/>
      <c r="C168" s="13" t="n"/>
      <c r="D168" s="13" t="n"/>
      <c r="E168" s="13" t="n"/>
      <c r="F168" s="15" t="n"/>
      <c r="G168" s="19" t="n"/>
      <c r="H168" s="17">
        <f>IF(OR(F168="",G168=""),"",ROUND(F168*9.80665*TAN(RADIANS(G168)),3))</f>
        <v/>
      </c>
      <c r="I168" s="18">
        <f>IF(G168="","",IF(G168&lt;45,"適合","要確認"))</f>
        <v/>
      </c>
      <c r="J168" s="13" t="n"/>
      <c r="K168" s="13" t="n"/>
    </row>
    <row r="169">
      <c r="A169" s="13" t="n"/>
      <c r="B169" s="14" t="n"/>
      <c r="C169" s="13" t="n"/>
      <c r="D169" s="13" t="n"/>
      <c r="E169" s="13" t="n"/>
      <c r="F169" s="15" t="n"/>
      <c r="G169" s="19" t="n"/>
      <c r="H169" s="17">
        <f>IF(OR(F169="",G169=""),"",ROUND(F169*9.80665*TAN(RADIANS(G169)),3))</f>
        <v/>
      </c>
      <c r="I169" s="18">
        <f>IF(G169="","",IF(G169&lt;45,"適合","要確認"))</f>
        <v/>
      </c>
      <c r="J169" s="13" t="n"/>
      <c r="K169" s="13" t="n"/>
    </row>
    <row r="170">
      <c r="A170" s="13" t="n"/>
      <c r="B170" s="14" t="n"/>
      <c r="C170" s="13" t="n"/>
      <c r="D170" s="13" t="n"/>
      <c r="E170" s="13" t="n"/>
      <c r="F170" s="15" t="n"/>
      <c r="G170" s="19" t="n"/>
      <c r="H170" s="17">
        <f>IF(OR(F170="",G170=""),"",ROUND(F170*9.80665*TAN(RADIANS(G170)),3))</f>
        <v/>
      </c>
      <c r="I170" s="18">
        <f>IF(G170="","",IF(G170&lt;45,"適合","要確認"))</f>
        <v/>
      </c>
      <c r="J170" s="13" t="n"/>
      <c r="K170" s="13" t="n"/>
    </row>
    <row r="171">
      <c r="A171" s="13" t="n"/>
      <c r="B171" s="14" t="n"/>
      <c r="C171" s="13" t="n"/>
      <c r="D171" s="13" t="n"/>
      <c r="E171" s="13" t="n"/>
      <c r="F171" s="15" t="n"/>
      <c r="G171" s="19" t="n"/>
      <c r="H171" s="17">
        <f>IF(OR(F171="",G171=""),"",ROUND(F171*9.80665*TAN(RADIANS(G171)),3))</f>
        <v/>
      </c>
      <c r="I171" s="18">
        <f>IF(G171="","",IF(G171&lt;45,"適合","要確認"))</f>
        <v/>
      </c>
      <c r="J171" s="13" t="n"/>
      <c r="K171" s="13" t="n"/>
    </row>
    <row r="172">
      <c r="A172" s="13" t="n"/>
      <c r="B172" s="14" t="n"/>
      <c r="C172" s="13" t="n"/>
      <c r="D172" s="13" t="n"/>
      <c r="E172" s="13" t="n"/>
      <c r="F172" s="15" t="n"/>
      <c r="G172" s="19" t="n"/>
      <c r="H172" s="17">
        <f>IF(OR(F172="",G172=""),"",ROUND(F172*9.80665*TAN(RADIANS(G172)),3))</f>
        <v/>
      </c>
      <c r="I172" s="18">
        <f>IF(G172="","",IF(G172&lt;45,"適合","要確認"))</f>
        <v/>
      </c>
      <c r="J172" s="13" t="n"/>
      <c r="K172" s="13" t="n"/>
    </row>
    <row r="173">
      <c r="A173" s="13" t="n"/>
      <c r="B173" s="14" t="n"/>
      <c r="C173" s="13" t="n"/>
      <c r="D173" s="13" t="n"/>
      <c r="E173" s="13" t="n"/>
      <c r="F173" s="15" t="n"/>
      <c r="G173" s="19" t="n"/>
      <c r="H173" s="17">
        <f>IF(OR(F173="",G173=""),"",ROUND(F173*9.80665*TAN(RADIANS(G173)),3))</f>
        <v/>
      </c>
      <c r="I173" s="18">
        <f>IF(G173="","",IF(G173&lt;45,"適合","要確認"))</f>
        <v/>
      </c>
      <c r="J173" s="13" t="n"/>
      <c r="K173" s="13" t="n"/>
    </row>
    <row r="174">
      <c r="A174" s="13" t="n"/>
      <c r="B174" s="14" t="n"/>
      <c r="C174" s="13" t="n"/>
      <c r="D174" s="13" t="n"/>
      <c r="E174" s="13" t="n"/>
      <c r="F174" s="15" t="n"/>
      <c r="G174" s="19" t="n"/>
      <c r="H174" s="17">
        <f>IF(OR(F174="",G174=""),"",ROUND(F174*9.80665*TAN(RADIANS(G174)),3))</f>
        <v/>
      </c>
      <c r="I174" s="18">
        <f>IF(G174="","",IF(G174&lt;45,"適合","要確認"))</f>
        <v/>
      </c>
      <c r="J174" s="13" t="n"/>
      <c r="K174" s="13" t="n"/>
    </row>
    <row r="175">
      <c r="A175" s="13" t="n"/>
      <c r="B175" s="14" t="n"/>
      <c r="C175" s="13" t="n"/>
      <c r="D175" s="13" t="n"/>
      <c r="E175" s="13" t="n"/>
      <c r="F175" s="15" t="n"/>
      <c r="G175" s="19" t="n"/>
      <c r="H175" s="17">
        <f>IF(OR(F175="",G175=""),"",ROUND(F175*9.80665*TAN(RADIANS(G175)),3))</f>
        <v/>
      </c>
      <c r="I175" s="18">
        <f>IF(G175="","",IF(G175&lt;45,"適合","要確認"))</f>
        <v/>
      </c>
      <c r="J175" s="13" t="n"/>
      <c r="K175" s="13" t="n"/>
    </row>
    <row r="176">
      <c r="A176" s="13" t="n"/>
      <c r="B176" s="14" t="n"/>
      <c r="C176" s="13" t="n"/>
      <c r="D176" s="13" t="n"/>
      <c r="E176" s="13" t="n"/>
      <c r="F176" s="15" t="n"/>
      <c r="G176" s="19" t="n"/>
      <c r="H176" s="17">
        <f>IF(OR(F176="",G176=""),"",ROUND(F176*9.80665*TAN(RADIANS(G176)),3))</f>
        <v/>
      </c>
      <c r="I176" s="18">
        <f>IF(G176="","",IF(G176&lt;45,"適合","要確認"))</f>
        <v/>
      </c>
      <c r="J176" s="13" t="n"/>
      <c r="K176" s="13" t="n"/>
    </row>
    <row r="177">
      <c r="A177" s="13" t="n"/>
      <c r="B177" s="14" t="n"/>
      <c r="C177" s="13" t="n"/>
      <c r="D177" s="13" t="n"/>
      <c r="E177" s="13" t="n"/>
      <c r="F177" s="15" t="n"/>
      <c r="G177" s="19" t="n"/>
      <c r="H177" s="17">
        <f>IF(OR(F177="",G177=""),"",ROUND(F177*9.80665*TAN(RADIANS(G177)),3))</f>
        <v/>
      </c>
      <c r="I177" s="18">
        <f>IF(G177="","",IF(G177&lt;45,"適合","要確認"))</f>
        <v/>
      </c>
      <c r="J177" s="13" t="n"/>
      <c r="K177" s="13" t="n"/>
    </row>
    <row r="178">
      <c r="A178" s="13" t="n"/>
      <c r="B178" s="14" t="n"/>
      <c r="C178" s="13" t="n"/>
      <c r="D178" s="13" t="n"/>
      <c r="E178" s="13" t="n"/>
      <c r="F178" s="15" t="n"/>
      <c r="G178" s="19" t="n"/>
      <c r="H178" s="17">
        <f>IF(OR(F178="",G178=""),"",ROUND(F178*9.80665*TAN(RADIANS(G178)),3))</f>
        <v/>
      </c>
      <c r="I178" s="18">
        <f>IF(G178="","",IF(G178&lt;45,"適合","要確認"))</f>
        <v/>
      </c>
      <c r="J178" s="13" t="n"/>
      <c r="K178" s="13" t="n"/>
    </row>
    <row r="179">
      <c r="A179" s="13" t="n"/>
      <c r="B179" s="14" t="n"/>
      <c r="C179" s="13" t="n"/>
      <c r="D179" s="13" t="n"/>
      <c r="E179" s="13" t="n"/>
      <c r="F179" s="15" t="n"/>
      <c r="G179" s="19" t="n"/>
      <c r="H179" s="17">
        <f>IF(OR(F179="",G179=""),"",ROUND(F179*9.80665*TAN(RADIANS(G179)),3))</f>
        <v/>
      </c>
      <c r="I179" s="18">
        <f>IF(G179="","",IF(G179&lt;45,"適合","要確認"))</f>
        <v/>
      </c>
      <c r="J179" s="13" t="n"/>
      <c r="K179" s="13" t="n"/>
    </row>
    <row r="180">
      <c r="A180" s="13" t="n"/>
      <c r="B180" s="14" t="n"/>
      <c r="C180" s="13" t="n"/>
      <c r="D180" s="13" t="n"/>
      <c r="E180" s="13" t="n"/>
      <c r="F180" s="15" t="n"/>
      <c r="G180" s="19" t="n"/>
      <c r="H180" s="17">
        <f>IF(OR(F180="",G180=""),"",ROUND(F180*9.80665*TAN(RADIANS(G180)),3))</f>
        <v/>
      </c>
      <c r="I180" s="18">
        <f>IF(G180="","",IF(G180&lt;45,"適合","要確認"))</f>
        <v/>
      </c>
      <c r="J180" s="13" t="n"/>
      <c r="K180" s="13" t="n"/>
    </row>
    <row r="181">
      <c r="A181" s="13" t="n"/>
      <c r="B181" s="14" t="n"/>
      <c r="C181" s="13" t="n"/>
      <c r="D181" s="13" t="n"/>
      <c r="E181" s="13" t="n"/>
      <c r="F181" s="15" t="n"/>
      <c r="G181" s="19" t="n"/>
      <c r="H181" s="17">
        <f>IF(OR(F181="",G181=""),"",ROUND(F181*9.80665*TAN(RADIANS(G181)),3))</f>
        <v/>
      </c>
      <c r="I181" s="18">
        <f>IF(G181="","",IF(G181&lt;45,"適合","要確認"))</f>
        <v/>
      </c>
      <c r="J181" s="13" t="n"/>
      <c r="K181" s="13" t="n"/>
    </row>
    <row r="182">
      <c r="A182" s="13" t="n"/>
      <c r="B182" s="14" t="n"/>
      <c r="C182" s="13" t="n"/>
      <c r="D182" s="13" t="n"/>
      <c r="E182" s="13" t="n"/>
      <c r="F182" s="15" t="n"/>
      <c r="G182" s="19" t="n"/>
      <c r="H182" s="17">
        <f>IF(OR(F182="",G182=""),"",ROUND(F182*9.80665*TAN(RADIANS(G182)),3))</f>
        <v/>
      </c>
      <c r="I182" s="18">
        <f>IF(G182="","",IF(G182&lt;45,"適合","要確認"))</f>
        <v/>
      </c>
      <c r="J182" s="13" t="n"/>
      <c r="K182" s="13" t="n"/>
    </row>
    <row r="183">
      <c r="A183" s="13" t="n"/>
      <c r="B183" s="14" t="n"/>
      <c r="C183" s="13" t="n"/>
      <c r="D183" s="13" t="n"/>
      <c r="E183" s="13" t="n"/>
      <c r="F183" s="15" t="n"/>
      <c r="G183" s="19" t="n"/>
      <c r="H183" s="17">
        <f>IF(OR(F183="",G183=""),"",ROUND(F183*9.80665*TAN(RADIANS(G183)),3))</f>
        <v/>
      </c>
      <c r="I183" s="18">
        <f>IF(G183="","",IF(G183&lt;45,"適合","要確認"))</f>
        <v/>
      </c>
      <c r="J183" s="13" t="n"/>
      <c r="K183" s="13" t="n"/>
    </row>
    <row r="184">
      <c r="A184" s="13" t="n"/>
      <c r="B184" s="14" t="n"/>
      <c r="C184" s="13" t="n"/>
      <c r="D184" s="13" t="n"/>
      <c r="E184" s="13" t="n"/>
      <c r="F184" s="15" t="n"/>
      <c r="G184" s="19" t="n"/>
      <c r="H184" s="17">
        <f>IF(OR(F184="",G184=""),"",ROUND(F184*9.80665*TAN(RADIANS(G184)),3))</f>
        <v/>
      </c>
      <c r="I184" s="18">
        <f>IF(G184="","",IF(G184&lt;45,"適合","要確認"))</f>
        <v/>
      </c>
      <c r="J184" s="13" t="n"/>
      <c r="K184" s="13" t="n"/>
    </row>
    <row r="185">
      <c r="A185" s="13" t="n"/>
      <c r="B185" s="14" t="n"/>
      <c r="C185" s="13" t="n"/>
      <c r="D185" s="13" t="n"/>
      <c r="E185" s="13" t="n"/>
      <c r="F185" s="15" t="n"/>
      <c r="G185" s="19" t="n"/>
      <c r="H185" s="17">
        <f>IF(OR(F185="",G185=""),"",ROUND(F185*9.80665*TAN(RADIANS(G185)),3))</f>
        <v/>
      </c>
      <c r="I185" s="18">
        <f>IF(G185="","",IF(G185&lt;45,"適合","要確認"))</f>
        <v/>
      </c>
      <c r="J185" s="13" t="n"/>
      <c r="K185" s="13" t="n"/>
    </row>
    <row r="186">
      <c r="A186" s="13" t="n"/>
      <c r="B186" s="14" t="n"/>
      <c r="C186" s="13" t="n"/>
      <c r="D186" s="13" t="n"/>
      <c r="E186" s="13" t="n"/>
      <c r="F186" s="15" t="n"/>
      <c r="G186" s="19" t="n"/>
      <c r="H186" s="17">
        <f>IF(OR(F186="",G186=""),"",ROUND(F186*9.80665*TAN(RADIANS(G186)),3))</f>
        <v/>
      </c>
      <c r="I186" s="18">
        <f>IF(G186="","",IF(G186&lt;45,"適合","要確認"))</f>
        <v/>
      </c>
      <c r="J186" s="13" t="n"/>
      <c r="K186" s="13" t="n"/>
    </row>
    <row r="187">
      <c r="A187" s="13" t="n"/>
      <c r="B187" s="14" t="n"/>
      <c r="C187" s="13" t="n"/>
      <c r="D187" s="13" t="n"/>
      <c r="E187" s="13" t="n"/>
      <c r="F187" s="15" t="n"/>
      <c r="G187" s="19" t="n"/>
      <c r="H187" s="17">
        <f>IF(OR(F187="",G187=""),"",ROUND(F187*9.80665*TAN(RADIANS(G187)),3))</f>
        <v/>
      </c>
      <c r="I187" s="18">
        <f>IF(G187="","",IF(G187&lt;45,"適合","要確認"))</f>
        <v/>
      </c>
      <c r="J187" s="13" t="n"/>
      <c r="K187" s="13" t="n"/>
    </row>
    <row r="188">
      <c r="A188" s="13" t="n"/>
      <c r="B188" s="14" t="n"/>
      <c r="C188" s="13" t="n"/>
      <c r="D188" s="13" t="n"/>
      <c r="E188" s="13" t="n"/>
      <c r="F188" s="15" t="n"/>
      <c r="G188" s="19" t="n"/>
      <c r="H188" s="17">
        <f>IF(OR(F188="",G188=""),"",ROUND(F188*9.80665*TAN(RADIANS(G188)),3))</f>
        <v/>
      </c>
      <c r="I188" s="18">
        <f>IF(G188="","",IF(G188&lt;45,"適合","要確認"))</f>
        <v/>
      </c>
      <c r="J188" s="13" t="n"/>
      <c r="K188" s="13" t="n"/>
    </row>
    <row r="189">
      <c r="A189" s="13" t="n"/>
      <c r="B189" s="14" t="n"/>
      <c r="C189" s="13" t="n"/>
      <c r="D189" s="13" t="n"/>
      <c r="E189" s="13" t="n"/>
      <c r="F189" s="15" t="n"/>
      <c r="G189" s="19" t="n"/>
      <c r="H189" s="17">
        <f>IF(OR(F189="",G189=""),"",ROUND(F189*9.80665*TAN(RADIANS(G189)),3))</f>
        <v/>
      </c>
      <c r="I189" s="18">
        <f>IF(G189="","",IF(G189&lt;45,"適合","要確認"))</f>
        <v/>
      </c>
      <c r="J189" s="13" t="n"/>
      <c r="K189" s="13" t="n"/>
    </row>
    <row r="190">
      <c r="A190" s="13" t="n"/>
      <c r="B190" s="14" t="n"/>
      <c r="C190" s="13" t="n"/>
      <c r="D190" s="13" t="n"/>
      <c r="E190" s="13" t="n"/>
      <c r="F190" s="15" t="n"/>
      <c r="G190" s="19" t="n"/>
      <c r="H190" s="17">
        <f>IF(OR(F190="",G190=""),"",ROUND(F190*9.80665*TAN(RADIANS(G190)),3))</f>
        <v/>
      </c>
      <c r="I190" s="18">
        <f>IF(G190="","",IF(G190&lt;45,"適合","要確認"))</f>
        <v/>
      </c>
      <c r="J190" s="13" t="n"/>
      <c r="K190" s="13" t="n"/>
    </row>
    <row r="191">
      <c r="A191" s="13" t="n"/>
      <c r="B191" s="14" t="n"/>
      <c r="C191" s="13" t="n"/>
      <c r="D191" s="13" t="n"/>
      <c r="E191" s="13" t="n"/>
      <c r="F191" s="15" t="n"/>
      <c r="G191" s="19" t="n"/>
      <c r="H191" s="17">
        <f>IF(OR(F191="",G191=""),"",ROUND(F191*9.80665*TAN(RADIANS(G191)),3))</f>
        <v/>
      </c>
      <c r="I191" s="18">
        <f>IF(G191="","",IF(G191&lt;45,"適合","要確認"))</f>
        <v/>
      </c>
      <c r="J191" s="13" t="n"/>
      <c r="K191" s="13" t="n"/>
    </row>
    <row r="192">
      <c r="A192" s="13" t="n"/>
      <c r="B192" s="14" t="n"/>
      <c r="C192" s="13" t="n"/>
      <c r="D192" s="13" t="n"/>
      <c r="E192" s="13" t="n"/>
      <c r="F192" s="15" t="n"/>
      <c r="G192" s="19" t="n"/>
      <c r="H192" s="17">
        <f>IF(OR(F192="",G192=""),"",ROUND(F192*9.80665*TAN(RADIANS(G192)),3))</f>
        <v/>
      </c>
      <c r="I192" s="18">
        <f>IF(G192="","",IF(G192&lt;45,"適合","要確認"))</f>
        <v/>
      </c>
      <c r="J192" s="13" t="n"/>
      <c r="K192" s="13" t="n"/>
    </row>
    <row r="193">
      <c r="A193" s="13" t="n"/>
      <c r="B193" s="14" t="n"/>
      <c r="C193" s="13" t="n"/>
      <c r="D193" s="13" t="n"/>
      <c r="E193" s="13" t="n"/>
      <c r="F193" s="15" t="n"/>
      <c r="G193" s="19" t="n"/>
      <c r="H193" s="17">
        <f>IF(OR(F193="",G193=""),"",ROUND(F193*9.80665*TAN(RADIANS(G193)),3))</f>
        <v/>
      </c>
      <c r="I193" s="18">
        <f>IF(G193="","",IF(G193&lt;45,"適合","要確認"))</f>
        <v/>
      </c>
      <c r="J193" s="13" t="n"/>
      <c r="K193" s="13" t="n"/>
    </row>
    <row r="194">
      <c r="A194" s="13" t="n"/>
      <c r="B194" s="14" t="n"/>
      <c r="C194" s="13" t="n"/>
      <c r="D194" s="13" t="n"/>
      <c r="E194" s="13" t="n"/>
      <c r="F194" s="15" t="n"/>
      <c r="G194" s="19" t="n"/>
      <c r="H194" s="17">
        <f>IF(OR(F194="",G194=""),"",ROUND(F194*9.80665*TAN(RADIANS(G194)),3))</f>
        <v/>
      </c>
      <c r="I194" s="18">
        <f>IF(G194="","",IF(G194&lt;45,"適合","要確認"))</f>
        <v/>
      </c>
      <c r="J194" s="13" t="n"/>
      <c r="K194" s="13" t="n"/>
    </row>
    <row r="195">
      <c r="A195" s="13" t="n"/>
      <c r="B195" s="14" t="n"/>
      <c r="C195" s="13" t="n"/>
      <c r="D195" s="13" t="n"/>
      <c r="E195" s="13" t="n"/>
      <c r="F195" s="15" t="n"/>
      <c r="G195" s="19" t="n"/>
      <c r="H195" s="17">
        <f>IF(OR(F195="",G195=""),"",ROUND(F195*9.80665*TAN(RADIANS(G195)),3))</f>
        <v/>
      </c>
      <c r="I195" s="18">
        <f>IF(G195="","",IF(G195&lt;45,"適合","要確認"))</f>
        <v/>
      </c>
      <c r="J195" s="13" t="n"/>
      <c r="K195" s="13" t="n"/>
    </row>
    <row r="196">
      <c r="A196" s="13" t="n"/>
      <c r="B196" s="14" t="n"/>
      <c r="C196" s="13" t="n"/>
      <c r="D196" s="13" t="n"/>
      <c r="E196" s="13" t="n"/>
      <c r="F196" s="15" t="n"/>
      <c r="G196" s="19" t="n"/>
      <c r="H196" s="17">
        <f>IF(OR(F196="",G196=""),"",ROUND(F196*9.80665*TAN(RADIANS(G196)),3))</f>
        <v/>
      </c>
      <c r="I196" s="18">
        <f>IF(G196="","",IF(G196&lt;45,"適合","要確認"))</f>
        <v/>
      </c>
      <c r="J196" s="13" t="n"/>
      <c r="K196" s="13" t="n"/>
    </row>
    <row r="197">
      <c r="A197" s="13" t="n"/>
      <c r="B197" s="14" t="n"/>
      <c r="C197" s="13" t="n"/>
      <c r="D197" s="13" t="n"/>
      <c r="E197" s="13" t="n"/>
      <c r="F197" s="15" t="n"/>
      <c r="G197" s="19" t="n"/>
      <c r="H197" s="17">
        <f>IF(OR(F197="",G197=""),"",ROUND(F197*9.80665*TAN(RADIANS(G197)),3))</f>
        <v/>
      </c>
      <c r="I197" s="18">
        <f>IF(G197="","",IF(G197&lt;45,"適合","要確認"))</f>
        <v/>
      </c>
      <c r="J197" s="13" t="n"/>
      <c r="K197" s="13" t="n"/>
    </row>
    <row r="198">
      <c r="A198" s="13" t="n"/>
      <c r="B198" s="14" t="n"/>
      <c r="C198" s="13" t="n"/>
      <c r="D198" s="13" t="n"/>
      <c r="E198" s="13" t="n"/>
      <c r="F198" s="15" t="n"/>
      <c r="G198" s="19" t="n"/>
      <c r="H198" s="17">
        <f>IF(OR(F198="",G198=""),"",ROUND(F198*9.80665*TAN(RADIANS(G198)),3))</f>
        <v/>
      </c>
      <c r="I198" s="18">
        <f>IF(G198="","",IF(G198&lt;45,"適合","要確認"))</f>
        <v/>
      </c>
      <c r="J198" s="13" t="n"/>
      <c r="K198" s="13" t="n"/>
    </row>
    <row r="199">
      <c r="A199" s="13" t="n"/>
      <c r="B199" s="14" t="n"/>
      <c r="C199" s="13" t="n"/>
      <c r="D199" s="13" t="n"/>
      <c r="E199" s="13" t="n"/>
      <c r="F199" s="15" t="n"/>
      <c r="G199" s="19" t="n"/>
      <c r="H199" s="17">
        <f>IF(OR(F199="",G199=""),"",ROUND(F199*9.80665*TAN(RADIANS(G199)),3))</f>
        <v/>
      </c>
      <c r="I199" s="18">
        <f>IF(G199="","",IF(G199&lt;45,"適合","要確認"))</f>
        <v/>
      </c>
      <c r="J199" s="13" t="n"/>
      <c r="K199" s="13" t="n"/>
    </row>
    <row r="200">
      <c r="A200" s="13" t="n"/>
      <c r="B200" s="14" t="n"/>
      <c r="C200" s="13" t="n"/>
      <c r="D200" s="13" t="n"/>
      <c r="E200" s="13" t="n"/>
      <c r="F200" s="15" t="n"/>
      <c r="G200" s="19" t="n"/>
      <c r="H200" s="17">
        <f>IF(OR(F200="",G200=""),"",ROUND(F200*9.80665*TAN(RADIANS(G200)),3))</f>
        <v/>
      </c>
      <c r="I200" s="18">
        <f>IF(G200="","",IF(G200&lt;45,"適合","要確認"))</f>
        <v/>
      </c>
      <c r="J200" s="13" t="n"/>
      <c r="K200" s="13" t="n"/>
    </row>
    <row r="201">
      <c r="A201" s="13" t="n"/>
      <c r="B201" s="14" t="n"/>
      <c r="C201" s="13" t="n"/>
      <c r="D201" s="13" t="n"/>
      <c r="E201" s="13" t="n"/>
      <c r="F201" s="15" t="n"/>
      <c r="G201" s="19" t="n"/>
      <c r="H201" s="17">
        <f>IF(OR(F201="",G201=""),"",ROUND(F201*9.80665*TAN(RADIANS(G201)),3))</f>
        <v/>
      </c>
      <c r="I201" s="18">
        <f>IF(G201="","",IF(G201&lt;45,"適合","要確認"))</f>
        <v/>
      </c>
      <c r="J201" s="13" t="n"/>
      <c r="K201" s="13" t="n"/>
    </row>
    <row r="202">
      <c r="A202" s="13" t="n"/>
      <c r="B202" s="14" t="n"/>
      <c r="C202" s="13" t="n"/>
      <c r="D202" s="13" t="n"/>
      <c r="E202" s="13" t="n"/>
      <c r="F202" s="15" t="n"/>
      <c r="G202" s="19" t="n"/>
      <c r="H202" s="17">
        <f>IF(OR(F202="",G202=""),"",ROUND(F202*9.80665*TAN(RADIANS(G202)),3))</f>
        <v/>
      </c>
      <c r="I202" s="18">
        <f>IF(G202="","",IF(G202&lt;45,"適合","要確認"))</f>
        <v/>
      </c>
      <c r="J202" s="13" t="n"/>
      <c r="K202" s="13" t="n"/>
    </row>
    <row r="203">
      <c r="A203" s="13" t="n"/>
      <c r="B203" s="14" t="n"/>
      <c r="C203" s="13" t="n"/>
      <c r="D203" s="13" t="n"/>
      <c r="E203" s="13" t="n"/>
      <c r="F203" s="15" t="n"/>
      <c r="G203" s="19" t="n"/>
      <c r="H203" s="17">
        <f>IF(OR(F203="",G203=""),"",ROUND(F203*9.80665*TAN(RADIANS(G203)),3))</f>
        <v/>
      </c>
      <c r="I203" s="18">
        <f>IF(G203="","",IF(G203&lt;45,"適合","要確認"))</f>
        <v/>
      </c>
      <c r="J203" s="13" t="n"/>
      <c r="K203" s="13" t="n"/>
    </row>
    <row r="204">
      <c r="A204" s="13" t="n"/>
      <c r="B204" s="14" t="n"/>
      <c r="C204" s="13" t="n"/>
      <c r="D204" s="13" t="n"/>
      <c r="E204" s="13" t="n"/>
      <c r="F204" s="15" t="n"/>
      <c r="G204" s="19" t="n"/>
      <c r="H204" s="17">
        <f>IF(OR(F204="",G204=""),"",ROUND(F204*9.80665*TAN(RADIANS(G204)),3))</f>
        <v/>
      </c>
      <c r="I204" s="18">
        <f>IF(G204="","",IF(G204&lt;45,"適合","要確認"))</f>
        <v/>
      </c>
      <c r="J204" s="13" t="n"/>
      <c r="K204" s="13" t="n"/>
    </row>
    <row r="205">
      <c r="A205" s="13" t="n"/>
      <c r="B205" s="14" t="n"/>
      <c r="C205" s="13" t="n"/>
      <c r="D205" s="13" t="n"/>
      <c r="E205" s="13" t="n"/>
      <c r="F205" s="15" t="n"/>
      <c r="G205" s="19" t="n"/>
      <c r="H205" s="17">
        <f>IF(OR(F205="",G205=""),"",ROUND(F205*9.80665*TAN(RADIANS(G205)),3))</f>
        <v/>
      </c>
      <c r="I205" s="18">
        <f>IF(G205="","",IF(G205&lt;45,"適合","要確認"))</f>
        <v/>
      </c>
      <c r="J205" s="13" t="n"/>
      <c r="K205" s="13" t="n"/>
    </row>
    <row r="206">
      <c r="A206" s="13" t="n"/>
      <c r="B206" s="14" t="n"/>
      <c r="C206" s="13" t="n"/>
      <c r="D206" s="13" t="n"/>
      <c r="E206" s="13" t="n"/>
      <c r="F206" s="15" t="n"/>
      <c r="G206" s="19" t="n"/>
      <c r="H206" s="17">
        <f>IF(OR(F206="",G206=""),"",ROUND(F206*9.80665*TAN(RADIANS(G206)),3))</f>
        <v/>
      </c>
      <c r="I206" s="18">
        <f>IF(G206="","",IF(G206&lt;45,"適合","要確認"))</f>
        <v/>
      </c>
      <c r="J206" s="13" t="n"/>
      <c r="K206" s="13" t="n"/>
    </row>
    <row r="207">
      <c r="A207" s="13" t="n"/>
      <c r="B207" s="14" t="n"/>
      <c r="C207" s="13" t="n"/>
      <c r="D207" s="13" t="n"/>
      <c r="E207" s="13" t="n"/>
      <c r="F207" s="15" t="n"/>
      <c r="G207" s="19" t="n"/>
      <c r="H207" s="17">
        <f>IF(OR(F207="",G207=""),"",ROUND(F207*9.80665*TAN(RADIANS(G207)),3))</f>
        <v/>
      </c>
      <c r="I207" s="18">
        <f>IF(G207="","",IF(G207&lt;45,"適合","要確認"))</f>
        <v/>
      </c>
      <c r="J207" s="13" t="n"/>
      <c r="K207" s="13" t="n"/>
    </row>
    <row r="208">
      <c r="A208" s="13" t="n"/>
      <c r="B208" s="14" t="n"/>
      <c r="C208" s="13" t="n"/>
      <c r="D208" s="13" t="n"/>
      <c r="E208" s="13" t="n"/>
      <c r="F208" s="15" t="n"/>
      <c r="G208" s="19" t="n"/>
      <c r="H208" s="17">
        <f>IF(OR(F208="",G208=""),"",ROUND(F208*9.80665*TAN(RADIANS(G208)),3))</f>
        <v/>
      </c>
      <c r="I208" s="18">
        <f>IF(G208="","",IF(G208&lt;45,"適合","要確認"))</f>
        <v/>
      </c>
      <c r="J208" s="13" t="n"/>
      <c r="K208" s="13" t="n"/>
    </row>
    <row r="209">
      <c r="A209" s="13" t="n"/>
      <c r="B209" s="14" t="n"/>
      <c r="C209" s="13" t="n"/>
      <c r="D209" s="13" t="n"/>
      <c r="E209" s="13" t="n"/>
      <c r="F209" s="15" t="n"/>
      <c r="G209" s="19" t="n"/>
      <c r="H209" s="17">
        <f>IF(OR(F209="",G209=""),"",ROUND(F209*9.80665*TAN(RADIANS(G209)),3))</f>
        <v/>
      </c>
      <c r="I209" s="18">
        <f>IF(G209="","",IF(G209&lt;45,"適合","要確認"))</f>
        <v/>
      </c>
      <c r="J209" s="13" t="n"/>
      <c r="K209" s="13" t="n"/>
    </row>
    <row r="210">
      <c r="A210" s="13" t="n"/>
      <c r="B210" s="14" t="n"/>
      <c r="C210" s="13" t="n"/>
      <c r="D210" s="13" t="n"/>
      <c r="E210" s="13" t="n"/>
      <c r="F210" s="15" t="n"/>
      <c r="G210" s="19" t="n"/>
      <c r="H210" s="17">
        <f>IF(OR(F210="",G210=""),"",ROUND(F210*9.80665*TAN(RADIANS(G210)),3))</f>
        <v/>
      </c>
      <c r="I210" s="18">
        <f>IF(G210="","",IF(G210&lt;45,"適合","要確認"))</f>
        <v/>
      </c>
      <c r="J210" s="13" t="n"/>
      <c r="K210" s="13" t="n"/>
    </row>
    <row r="211">
      <c r="A211" s="13" t="n"/>
      <c r="B211" s="14" t="n"/>
      <c r="C211" s="13" t="n"/>
      <c r="D211" s="13" t="n"/>
      <c r="E211" s="13" t="n"/>
      <c r="F211" s="15" t="n"/>
      <c r="G211" s="19" t="n"/>
      <c r="H211" s="17">
        <f>IF(OR(F211="",G211=""),"",ROUND(F211*9.80665*TAN(RADIANS(G211)),3))</f>
        <v/>
      </c>
      <c r="I211" s="18">
        <f>IF(G211="","",IF(G211&lt;45,"適合","要確認"))</f>
        <v/>
      </c>
      <c r="J211" s="13" t="n"/>
      <c r="K211" s="13" t="n"/>
    </row>
    <row r="212">
      <c r="A212" s="13" t="n"/>
      <c r="B212" s="14" t="n"/>
      <c r="C212" s="13" t="n"/>
      <c r="D212" s="13" t="n"/>
      <c r="E212" s="13" t="n"/>
      <c r="F212" s="15" t="n"/>
      <c r="G212" s="19" t="n"/>
      <c r="H212" s="17">
        <f>IF(OR(F212="",G212=""),"",ROUND(F212*9.80665*TAN(RADIANS(G212)),3))</f>
        <v/>
      </c>
      <c r="I212" s="18">
        <f>IF(G212="","",IF(G212&lt;45,"適合","要確認"))</f>
        <v/>
      </c>
      <c r="J212" s="13" t="n"/>
      <c r="K212" s="13" t="n"/>
    </row>
    <row r="213">
      <c r="A213" s="13" t="n"/>
      <c r="B213" s="14" t="n"/>
      <c r="C213" s="13" t="n"/>
      <c r="D213" s="13" t="n"/>
      <c r="E213" s="13" t="n"/>
      <c r="F213" s="15" t="n"/>
      <c r="G213" s="19" t="n"/>
      <c r="H213" s="17">
        <f>IF(OR(F213="",G213=""),"",ROUND(F213*9.80665*TAN(RADIANS(G213)),3))</f>
        <v/>
      </c>
      <c r="I213" s="18">
        <f>IF(G213="","",IF(G213&lt;45,"適合","要確認"))</f>
        <v/>
      </c>
      <c r="J213" s="13" t="n"/>
      <c r="K213" s="13" t="n"/>
    </row>
    <row r="214">
      <c r="A214" s="13" t="n"/>
      <c r="B214" s="14" t="n"/>
      <c r="C214" s="13" t="n"/>
      <c r="D214" s="13" t="n"/>
      <c r="E214" s="13" t="n"/>
      <c r="F214" s="15" t="n"/>
      <c r="G214" s="19" t="n"/>
      <c r="H214" s="17">
        <f>IF(OR(F214="",G214=""),"",ROUND(F214*9.80665*TAN(RADIANS(G214)),3))</f>
        <v/>
      </c>
      <c r="I214" s="18">
        <f>IF(G214="","",IF(G214&lt;45,"適合","要確認"))</f>
        <v/>
      </c>
      <c r="J214" s="13" t="n"/>
      <c r="K214" s="13" t="n"/>
    </row>
    <row r="215">
      <c r="A215" s="13" t="n"/>
      <c r="B215" s="14" t="n"/>
      <c r="C215" s="13" t="n"/>
      <c r="D215" s="13" t="n"/>
      <c r="E215" s="13" t="n"/>
      <c r="F215" s="15" t="n"/>
      <c r="G215" s="19" t="n"/>
      <c r="H215" s="17">
        <f>IF(OR(F215="",G215=""),"",ROUND(F215*9.80665*TAN(RADIANS(G215)),3))</f>
        <v/>
      </c>
      <c r="I215" s="18">
        <f>IF(G215="","",IF(G215&lt;45,"適合","要確認"))</f>
        <v/>
      </c>
      <c r="J215" s="13" t="n"/>
      <c r="K215" s="13" t="n"/>
    </row>
    <row r="216">
      <c r="A216" s="13" t="n"/>
      <c r="B216" s="14" t="n"/>
      <c r="C216" s="13" t="n"/>
      <c r="D216" s="13" t="n"/>
      <c r="E216" s="13" t="n"/>
      <c r="F216" s="15" t="n"/>
      <c r="G216" s="19" t="n"/>
      <c r="H216" s="17">
        <f>IF(OR(F216="",G216=""),"",ROUND(F216*9.80665*TAN(RADIANS(G216)),3))</f>
        <v/>
      </c>
      <c r="I216" s="18">
        <f>IF(G216="","",IF(G216&lt;45,"適合","要確認"))</f>
        <v/>
      </c>
      <c r="J216" s="13" t="n"/>
      <c r="K216" s="13" t="n"/>
    </row>
    <row r="217">
      <c r="A217" s="13" t="n"/>
      <c r="B217" s="14" t="n"/>
      <c r="C217" s="13" t="n"/>
      <c r="D217" s="13" t="n"/>
      <c r="E217" s="13" t="n"/>
      <c r="F217" s="15" t="n"/>
      <c r="G217" s="19" t="n"/>
      <c r="H217" s="17">
        <f>IF(OR(F217="",G217=""),"",ROUND(F217*9.80665*TAN(RADIANS(G217)),3))</f>
        <v/>
      </c>
      <c r="I217" s="18">
        <f>IF(G217="","",IF(G217&lt;45,"適合","要確認"))</f>
        <v/>
      </c>
      <c r="J217" s="13" t="n"/>
      <c r="K217" s="13" t="n"/>
    </row>
    <row r="218">
      <c r="A218" s="13" t="n"/>
      <c r="B218" s="14" t="n"/>
      <c r="C218" s="13" t="n"/>
      <c r="D218" s="13" t="n"/>
      <c r="E218" s="13" t="n"/>
      <c r="F218" s="15" t="n"/>
      <c r="G218" s="19" t="n"/>
      <c r="H218" s="17">
        <f>IF(OR(F218="",G218=""),"",ROUND(F218*9.80665*TAN(RADIANS(G218)),3))</f>
        <v/>
      </c>
      <c r="I218" s="18">
        <f>IF(G218="","",IF(G218&lt;45,"適合","要確認"))</f>
        <v/>
      </c>
      <c r="J218" s="13" t="n"/>
      <c r="K218" s="13" t="n"/>
    </row>
    <row r="219">
      <c r="A219" s="13" t="n"/>
      <c r="B219" s="14" t="n"/>
      <c r="C219" s="13" t="n"/>
      <c r="D219" s="13" t="n"/>
      <c r="E219" s="13" t="n"/>
      <c r="F219" s="15" t="n"/>
      <c r="G219" s="19" t="n"/>
      <c r="H219" s="17">
        <f>IF(OR(F219="",G219=""),"",ROUND(F219*9.80665*TAN(RADIANS(G219)),3))</f>
        <v/>
      </c>
      <c r="I219" s="18">
        <f>IF(G219="","",IF(G219&lt;45,"適合","要確認"))</f>
        <v/>
      </c>
      <c r="J219" s="13" t="n"/>
      <c r="K219" s="13" t="n"/>
    </row>
    <row r="220">
      <c r="A220" s="13" t="n"/>
      <c r="B220" s="14" t="n"/>
      <c r="C220" s="13" t="n"/>
      <c r="D220" s="13" t="n"/>
      <c r="E220" s="13" t="n"/>
      <c r="F220" s="15" t="n"/>
      <c r="G220" s="19" t="n"/>
      <c r="H220" s="17">
        <f>IF(OR(F220="",G220=""),"",ROUND(F220*9.80665*TAN(RADIANS(G220)),3))</f>
        <v/>
      </c>
      <c r="I220" s="18">
        <f>IF(G220="","",IF(G220&lt;45,"適合","要確認"))</f>
        <v/>
      </c>
      <c r="J220" s="13" t="n"/>
      <c r="K220" s="13" t="n"/>
    </row>
    <row r="221">
      <c r="A221" s="13" t="n"/>
      <c r="B221" s="14" t="n"/>
      <c r="C221" s="13" t="n"/>
      <c r="D221" s="13" t="n"/>
      <c r="E221" s="13" t="n"/>
      <c r="F221" s="15" t="n"/>
      <c r="G221" s="19" t="n"/>
      <c r="H221" s="17">
        <f>IF(OR(F221="",G221=""),"",ROUND(F221*9.80665*TAN(RADIANS(G221)),3))</f>
        <v/>
      </c>
      <c r="I221" s="18">
        <f>IF(G221="","",IF(G221&lt;45,"適合","要確認"))</f>
        <v/>
      </c>
      <c r="J221" s="13" t="n"/>
      <c r="K221" s="13" t="n"/>
    </row>
    <row r="222">
      <c r="A222" s="13" t="n"/>
      <c r="B222" s="14" t="n"/>
      <c r="C222" s="13" t="n"/>
      <c r="D222" s="13" t="n"/>
      <c r="E222" s="13" t="n"/>
      <c r="F222" s="15" t="n"/>
      <c r="G222" s="19" t="n"/>
      <c r="H222" s="17">
        <f>IF(OR(F222="",G222=""),"",ROUND(F222*9.80665*TAN(RADIANS(G222)),3))</f>
        <v/>
      </c>
      <c r="I222" s="18">
        <f>IF(G222="","",IF(G222&lt;45,"適合","要確認"))</f>
        <v/>
      </c>
      <c r="J222" s="13" t="n"/>
      <c r="K222" s="13" t="n"/>
    </row>
    <row r="223">
      <c r="A223" s="13" t="n"/>
      <c r="B223" s="14" t="n"/>
      <c r="C223" s="13" t="n"/>
      <c r="D223" s="13" t="n"/>
      <c r="E223" s="13" t="n"/>
      <c r="F223" s="15" t="n"/>
      <c r="G223" s="19" t="n"/>
      <c r="H223" s="17">
        <f>IF(OR(F223="",G223=""),"",ROUND(F223*9.80665*TAN(RADIANS(G223)),3))</f>
        <v/>
      </c>
      <c r="I223" s="18">
        <f>IF(G223="","",IF(G223&lt;45,"適合","要確認"))</f>
        <v/>
      </c>
      <c r="J223" s="13" t="n"/>
      <c r="K223" s="13" t="n"/>
    </row>
    <row r="224">
      <c r="A224" s="13" t="n"/>
      <c r="B224" s="14" t="n"/>
      <c r="C224" s="13" t="n"/>
      <c r="D224" s="13" t="n"/>
      <c r="E224" s="13" t="n"/>
      <c r="F224" s="15" t="n"/>
      <c r="G224" s="19" t="n"/>
      <c r="H224" s="17">
        <f>IF(OR(F224="",G224=""),"",ROUND(F224*9.80665*TAN(RADIANS(G224)),3))</f>
        <v/>
      </c>
      <c r="I224" s="18">
        <f>IF(G224="","",IF(G224&lt;45,"適合","要確認"))</f>
        <v/>
      </c>
      <c r="J224" s="13" t="n"/>
      <c r="K224" s="13" t="n"/>
    </row>
    <row r="225">
      <c r="A225" s="13" t="n"/>
      <c r="B225" s="14" t="n"/>
      <c r="C225" s="13" t="n"/>
      <c r="D225" s="13" t="n"/>
      <c r="E225" s="13" t="n"/>
      <c r="F225" s="15" t="n"/>
      <c r="G225" s="19" t="n"/>
      <c r="H225" s="17">
        <f>IF(OR(F225="",G225=""),"",ROUND(F225*9.80665*TAN(RADIANS(G225)),3))</f>
        <v/>
      </c>
      <c r="I225" s="18">
        <f>IF(G225="","",IF(G225&lt;45,"適合","要確認"))</f>
        <v/>
      </c>
      <c r="J225" s="13" t="n"/>
      <c r="K225" s="13" t="n"/>
    </row>
    <row r="226">
      <c r="A226" s="13" t="n"/>
      <c r="B226" s="14" t="n"/>
      <c r="C226" s="13" t="n"/>
      <c r="D226" s="13" t="n"/>
      <c r="E226" s="13" t="n"/>
      <c r="F226" s="15" t="n"/>
      <c r="G226" s="19" t="n"/>
      <c r="H226" s="17">
        <f>IF(OR(F226="",G226=""),"",ROUND(F226*9.80665*TAN(RADIANS(G226)),3))</f>
        <v/>
      </c>
      <c r="I226" s="18">
        <f>IF(G226="","",IF(G226&lt;45,"適合","要確認"))</f>
        <v/>
      </c>
      <c r="J226" s="13" t="n"/>
      <c r="K226" s="13" t="n"/>
    </row>
    <row r="227">
      <c r="A227" s="13" t="n"/>
      <c r="B227" s="14" t="n"/>
      <c r="C227" s="13" t="n"/>
      <c r="D227" s="13" t="n"/>
      <c r="E227" s="13" t="n"/>
      <c r="F227" s="15" t="n"/>
      <c r="G227" s="19" t="n"/>
      <c r="H227" s="17">
        <f>IF(OR(F227="",G227=""),"",ROUND(F227*9.80665*TAN(RADIANS(G227)),3))</f>
        <v/>
      </c>
      <c r="I227" s="18">
        <f>IF(G227="","",IF(G227&lt;45,"適合","要確認"))</f>
        <v/>
      </c>
      <c r="J227" s="13" t="n"/>
      <c r="K227" s="13" t="n"/>
    </row>
    <row r="228">
      <c r="A228" s="13" t="n"/>
      <c r="B228" s="14" t="n"/>
      <c r="C228" s="13" t="n"/>
      <c r="D228" s="13" t="n"/>
      <c r="E228" s="13" t="n"/>
      <c r="F228" s="15" t="n"/>
      <c r="G228" s="19" t="n"/>
      <c r="H228" s="17">
        <f>IF(OR(F228="",G228=""),"",ROUND(F228*9.80665*TAN(RADIANS(G228)),3))</f>
        <v/>
      </c>
      <c r="I228" s="18">
        <f>IF(G228="","",IF(G228&lt;45,"適合","要確認"))</f>
        <v/>
      </c>
      <c r="J228" s="13" t="n"/>
      <c r="K228" s="13" t="n"/>
    </row>
    <row r="229">
      <c r="A229" s="13" t="n"/>
      <c r="B229" s="14" t="n"/>
      <c r="C229" s="13" t="n"/>
      <c r="D229" s="13" t="n"/>
      <c r="E229" s="13" t="n"/>
      <c r="F229" s="15" t="n"/>
      <c r="G229" s="19" t="n"/>
      <c r="H229" s="17">
        <f>IF(OR(F229="",G229=""),"",ROUND(F229*9.80665*TAN(RADIANS(G229)),3))</f>
        <v/>
      </c>
      <c r="I229" s="18">
        <f>IF(G229="","",IF(G229&lt;45,"適合","要確認"))</f>
        <v/>
      </c>
      <c r="J229" s="13" t="n"/>
      <c r="K229" s="13" t="n"/>
    </row>
    <row r="230">
      <c r="A230" s="13" t="n"/>
      <c r="B230" s="14" t="n"/>
      <c r="C230" s="13" t="n"/>
      <c r="D230" s="13" t="n"/>
      <c r="E230" s="13" t="n"/>
      <c r="F230" s="15" t="n"/>
      <c r="G230" s="19" t="n"/>
      <c r="H230" s="17">
        <f>IF(OR(F230="",G230=""),"",ROUND(F230*9.80665*TAN(RADIANS(G230)),3))</f>
        <v/>
      </c>
      <c r="I230" s="18">
        <f>IF(G230="","",IF(G230&lt;45,"適合","要確認"))</f>
        <v/>
      </c>
      <c r="J230" s="13" t="n"/>
      <c r="K230" s="13" t="n"/>
    </row>
    <row r="231">
      <c r="A231" s="13" t="n"/>
      <c r="B231" s="14" t="n"/>
      <c r="C231" s="13" t="n"/>
      <c r="D231" s="13" t="n"/>
      <c r="E231" s="13" t="n"/>
      <c r="F231" s="15" t="n"/>
      <c r="G231" s="19" t="n"/>
      <c r="H231" s="17">
        <f>IF(OR(F231="",G231=""),"",ROUND(F231*9.80665*TAN(RADIANS(G231)),3))</f>
        <v/>
      </c>
      <c r="I231" s="18">
        <f>IF(G231="","",IF(G231&lt;45,"適合","要確認"))</f>
        <v/>
      </c>
      <c r="J231" s="13" t="n"/>
      <c r="K231" s="13" t="n"/>
    </row>
    <row r="232">
      <c r="A232" s="13" t="n"/>
      <c r="B232" s="14" t="n"/>
      <c r="C232" s="13" t="n"/>
      <c r="D232" s="13" t="n"/>
      <c r="E232" s="13" t="n"/>
      <c r="F232" s="15" t="n"/>
      <c r="G232" s="19" t="n"/>
      <c r="H232" s="17">
        <f>IF(OR(F232="",G232=""),"",ROUND(F232*9.80665*TAN(RADIANS(G232)),3))</f>
        <v/>
      </c>
      <c r="I232" s="18">
        <f>IF(G232="","",IF(G232&lt;45,"適合","要確認"))</f>
        <v/>
      </c>
      <c r="J232" s="13" t="n"/>
      <c r="K232" s="13" t="n"/>
    </row>
    <row r="233">
      <c r="A233" s="13" t="n"/>
      <c r="B233" s="14" t="n"/>
      <c r="C233" s="13" t="n"/>
      <c r="D233" s="13" t="n"/>
      <c r="E233" s="13" t="n"/>
      <c r="F233" s="15" t="n"/>
      <c r="G233" s="19" t="n"/>
      <c r="H233" s="17">
        <f>IF(OR(F233="",G233=""),"",ROUND(F233*9.80665*TAN(RADIANS(G233)),3))</f>
        <v/>
      </c>
      <c r="I233" s="18">
        <f>IF(G233="","",IF(G233&lt;45,"適合","要確認"))</f>
        <v/>
      </c>
      <c r="J233" s="13" t="n"/>
      <c r="K233" s="13" t="n"/>
    </row>
    <row r="234">
      <c r="A234" s="13" t="n"/>
      <c r="B234" s="14" t="n"/>
      <c r="C234" s="13" t="n"/>
      <c r="D234" s="13" t="n"/>
      <c r="E234" s="13" t="n"/>
      <c r="F234" s="15" t="n"/>
      <c r="G234" s="19" t="n"/>
      <c r="H234" s="17">
        <f>IF(OR(F234="",G234=""),"",ROUND(F234*9.80665*TAN(RADIANS(G234)),3))</f>
        <v/>
      </c>
      <c r="I234" s="18">
        <f>IF(G234="","",IF(G234&lt;45,"適合","要確認"))</f>
        <v/>
      </c>
      <c r="J234" s="13" t="n"/>
      <c r="K234" s="13" t="n"/>
    </row>
    <row r="235">
      <c r="A235" s="13" t="n"/>
      <c r="B235" s="14" t="n"/>
      <c r="C235" s="13" t="n"/>
      <c r="D235" s="13" t="n"/>
      <c r="E235" s="13" t="n"/>
      <c r="F235" s="15" t="n"/>
      <c r="G235" s="19" t="n"/>
      <c r="H235" s="17">
        <f>IF(OR(F235="",G235=""),"",ROUND(F235*9.80665*TAN(RADIANS(G235)),3))</f>
        <v/>
      </c>
      <c r="I235" s="18">
        <f>IF(G235="","",IF(G235&lt;45,"適合","要確認"))</f>
        <v/>
      </c>
      <c r="J235" s="13" t="n"/>
      <c r="K235" s="13" t="n"/>
    </row>
    <row r="236">
      <c r="A236" s="13" t="n"/>
      <c r="B236" s="14" t="n"/>
      <c r="C236" s="13" t="n"/>
      <c r="D236" s="13" t="n"/>
      <c r="E236" s="13" t="n"/>
      <c r="F236" s="15" t="n"/>
      <c r="G236" s="19" t="n"/>
      <c r="H236" s="17">
        <f>IF(OR(F236="",G236=""),"",ROUND(F236*9.80665*TAN(RADIANS(G236)),3))</f>
        <v/>
      </c>
      <c r="I236" s="18">
        <f>IF(G236="","",IF(G236&lt;45,"適合","要確認"))</f>
        <v/>
      </c>
      <c r="J236" s="13" t="n"/>
      <c r="K236" s="13" t="n"/>
    </row>
    <row r="237">
      <c r="A237" s="13" t="n"/>
      <c r="B237" s="14" t="n"/>
      <c r="C237" s="13" t="n"/>
      <c r="D237" s="13" t="n"/>
      <c r="E237" s="13" t="n"/>
      <c r="F237" s="15" t="n"/>
      <c r="G237" s="19" t="n"/>
      <c r="H237" s="17">
        <f>IF(OR(F237="",G237=""),"",ROUND(F237*9.80665*TAN(RADIANS(G237)),3))</f>
        <v/>
      </c>
      <c r="I237" s="18">
        <f>IF(G237="","",IF(G237&lt;45,"適合","要確認"))</f>
        <v/>
      </c>
      <c r="J237" s="13" t="n"/>
      <c r="K237" s="13" t="n"/>
    </row>
    <row r="238">
      <c r="A238" s="13" t="n"/>
      <c r="B238" s="14" t="n"/>
      <c r="C238" s="13" t="n"/>
      <c r="D238" s="13" t="n"/>
      <c r="E238" s="13" t="n"/>
      <c r="F238" s="15" t="n"/>
      <c r="G238" s="19" t="n"/>
      <c r="H238" s="17">
        <f>IF(OR(F238="",G238=""),"",ROUND(F238*9.80665*TAN(RADIANS(G238)),3))</f>
        <v/>
      </c>
      <c r="I238" s="18">
        <f>IF(G238="","",IF(G238&lt;45,"適合","要確認"))</f>
        <v/>
      </c>
      <c r="J238" s="13" t="n"/>
      <c r="K238" s="13" t="n"/>
    </row>
    <row r="239">
      <c r="A239" s="13" t="n"/>
      <c r="B239" s="14" t="n"/>
      <c r="C239" s="13" t="n"/>
      <c r="D239" s="13" t="n"/>
      <c r="E239" s="13" t="n"/>
      <c r="F239" s="15" t="n"/>
      <c r="G239" s="19" t="n"/>
      <c r="H239" s="17">
        <f>IF(OR(F239="",G239=""),"",ROUND(F239*9.80665*TAN(RADIANS(G239)),3))</f>
        <v/>
      </c>
      <c r="I239" s="18">
        <f>IF(G239="","",IF(G239&lt;45,"適合","要確認"))</f>
        <v/>
      </c>
      <c r="J239" s="13" t="n"/>
      <c r="K239" s="13" t="n"/>
    </row>
    <row r="240">
      <c r="A240" s="13" t="n"/>
      <c r="B240" s="14" t="n"/>
      <c r="C240" s="13" t="n"/>
      <c r="D240" s="13" t="n"/>
      <c r="E240" s="13" t="n"/>
      <c r="F240" s="15" t="n"/>
      <c r="G240" s="19" t="n"/>
      <c r="H240" s="17">
        <f>IF(OR(F240="",G240=""),"",ROUND(F240*9.80665*TAN(RADIANS(G240)),3))</f>
        <v/>
      </c>
      <c r="I240" s="18">
        <f>IF(G240="","",IF(G240&lt;45,"適合","要確認"))</f>
        <v/>
      </c>
      <c r="J240" s="13" t="n"/>
      <c r="K240" s="13" t="n"/>
    </row>
    <row r="241">
      <c r="A241" s="13" t="n"/>
      <c r="B241" s="14" t="n"/>
      <c r="C241" s="13" t="n"/>
      <c r="D241" s="13" t="n"/>
      <c r="E241" s="13" t="n"/>
      <c r="F241" s="15" t="n"/>
      <c r="G241" s="19" t="n"/>
      <c r="H241" s="17">
        <f>IF(OR(F241="",G241=""),"",ROUND(F241*9.80665*TAN(RADIANS(G241)),3))</f>
        <v/>
      </c>
      <c r="I241" s="18">
        <f>IF(G241="","",IF(G241&lt;45,"適合","要確認"))</f>
        <v/>
      </c>
      <c r="J241" s="13" t="n"/>
      <c r="K241" s="13" t="n"/>
    </row>
    <row r="242">
      <c r="A242" s="13" t="n"/>
      <c r="B242" s="14" t="n"/>
      <c r="C242" s="13" t="n"/>
      <c r="D242" s="13" t="n"/>
      <c r="E242" s="13" t="n"/>
      <c r="F242" s="15" t="n"/>
      <c r="G242" s="19" t="n"/>
      <c r="H242" s="17">
        <f>IF(OR(F242="",G242=""),"",ROUND(F242*9.80665*TAN(RADIANS(G242)),3))</f>
        <v/>
      </c>
      <c r="I242" s="18">
        <f>IF(G242="","",IF(G242&lt;45,"適合","要確認"))</f>
        <v/>
      </c>
      <c r="J242" s="13" t="n"/>
      <c r="K242" s="13" t="n"/>
    </row>
    <row r="243">
      <c r="A243" s="13" t="n"/>
      <c r="B243" s="14" t="n"/>
      <c r="C243" s="13" t="n"/>
      <c r="D243" s="13" t="n"/>
      <c r="E243" s="13" t="n"/>
      <c r="F243" s="15" t="n"/>
      <c r="G243" s="19" t="n"/>
      <c r="H243" s="17">
        <f>IF(OR(F243="",G243=""),"",ROUND(F243*9.80665*TAN(RADIANS(G243)),3))</f>
        <v/>
      </c>
      <c r="I243" s="18">
        <f>IF(G243="","",IF(G243&lt;45,"適合","要確認"))</f>
        <v/>
      </c>
      <c r="J243" s="13" t="n"/>
      <c r="K243" s="13" t="n"/>
    </row>
    <row r="244">
      <c r="A244" s="13" t="n"/>
      <c r="B244" s="14" t="n"/>
      <c r="C244" s="13" t="n"/>
      <c r="D244" s="13" t="n"/>
      <c r="E244" s="13" t="n"/>
      <c r="F244" s="15" t="n"/>
      <c r="G244" s="19" t="n"/>
      <c r="H244" s="17">
        <f>IF(OR(F244="",G244=""),"",ROUND(F244*9.80665*TAN(RADIANS(G244)),3))</f>
        <v/>
      </c>
      <c r="I244" s="18">
        <f>IF(G244="","",IF(G244&lt;45,"適合","要確認"))</f>
        <v/>
      </c>
      <c r="J244" s="13" t="n"/>
      <c r="K244" s="13" t="n"/>
    </row>
    <row r="245">
      <c r="A245" s="13" t="n"/>
      <c r="B245" s="14" t="n"/>
      <c r="C245" s="13" t="n"/>
      <c r="D245" s="13" t="n"/>
      <c r="E245" s="13" t="n"/>
      <c r="F245" s="15" t="n"/>
      <c r="G245" s="19" t="n"/>
      <c r="H245" s="17">
        <f>IF(OR(F245="",G245=""),"",ROUND(F245*9.80665*TAN(RADIANS(G245)),3))</f>
        <v/>
      </c>
      <c r="I245" s="18">
        <f>IF(G245="","",IF(G245&lt;45,"適合","要確認"))</f>
        <v/>
      </c>
      <c r="J245" s="13" t="n"/>
      <c r="K245" s="13" t="n"/>
    </row>
    <row r="246">
      <c r="A246" s="13" t="n"/>
      <c r="B246" s="14" t="n"/>
      <c r="C246" s="13" t="n"/>
      <c r="D246" s="13" t="n"/>
      <c r="E246" s="13" t="n"/>
      <c r="F246" s="15" t="n"/>
      <c r="G246" s="19" t="n"/>
      <c r="H246" s="17">
        <f>IF(OR(F246="",G246=""),"",ROUND(F246*9.80665*TAN(RADIANS(G246)),3))</f>
        <v/>
      </c>
      <c r="I246" s="18">
        <f>IF(G246="","",IF(G246&lt;45,"適合","要確認"))</f>
        <v/>
      </c>
      <c r="J246" s="13" t="n"/>
      <c r="K246" s="13" t="n"/>
    </row>
    <row r="247">
      <c r="A247" s="13" t="n"/>
      <c r="B247" s="14" t="n"/>
      <c r="C247" s="13" t="n"/>
      <c r="D247" s="13" t="n"/>
      <c r="E247" s="13" t="n"/>
      <c r="F247" s="15" t="n"/>
      <c r="G247" s="19" t="n"/>
      <c r="H247" s="17">
        <f>IF(OR(F247="",G247=""),"",ROUND(F247*9.80665*TAN(RADIANS(G247)),3))</f>
        <v/>
      </c>
      <c r="I247" s="18">
        <f>IF(G247="","",IF(G247&lt;45,"適合","要確認"))</f>
        <v/>
      </c>
      <c r="J247" s="13" t="n"/>
      <c r="K247" s="13" t="n"/>
    </row>
    <row r="248">
      <c r="A248" s="13" t="n"/>
      <c r="B248" s="14" t="n"/>
      <c r="C248" s="13" t="n"/>
      <c r="D248" s="13" t="n"/>
      <c r="E248" s="13" t="n"/>
      <c r="F248" s="15" t="n"/>
      <c r="G248" s="19" t="n"/>
      <c r="H248" s="17">
        <f>IF(OR(F248="",G248=""),"",ROUND(F248*9.80665*TAN(RADIANS(G248)),3))</f>
        <v/>
      </c>
      <c r="I248" s="18">
        <f>IF(G248="","",IF(G248&lt;45,"適合","要確認"))</f>
        <v/>
      </c>
      <c r="J248" s="13" t="n"/>
      <c r="K248" s="13" t="n"/>
    </row>
    <row r="249">
      <c r="A249" s="13" t="n"/>
      <c r="B249" s="14" t="n"/>
      <c r="C249" s="13" t="n"/>
      <c r="D249" s="13" t="n"/>
      <c r="E249" s="13" t="n"/>
      <c r="F249" s="15" t="n"/>
      <c r="G249" s="19" t="n"/>
      <c r="H249" s="17">
        <f>IF(OR(F249="",G249=""),"",ROUND(F249*9.80665*TAN(RADIANS(G249)),3))</f>
        <v/>
      </c>
      <c r="I249" s="18">
        <f>IF(G249="","",IF(G249&lt;45,"適合","要確認"))</f>
        <v/>
      </c>
      <c r="J249" s="13" t="n"/>
      <c r="K249" s="13" t="n"/>
    </row>
    <row r="250">
      <c r="A250" s="13" t="n"/>
      <c r="B250" s="14" t="n"/>
      <c r="C250" s="13" t="n"/>
      <c r="D250" s="13" t="n"/>
      <c r="E250" s="13" t="n"/>
      <c r="F250" s="15" t="n"/>
      <c r="G250" s="19" t="n"/>
      <c r="H250" s="17">
        <f>IF(OR(F250="",G250=""),"",ROUND(F250*9.80665*TAN(RADIANS(G250)),3))</f>
        <v/>
      </c>
      <c r="I250" s="18">
        <f>IF(G250="","",IF(G250&lt;45,"適合","要確認"))</f>
        <v/>
      </c>
      <c r="J250" s="13" t="n"/>
      <c r="K250" s="13" t="n"/>
    </row>
    <row r="251">
      <c r="A251" s="13" t="n"/>
      <c r="B251" s="14" t="n"/>
      <c r="C251" s="13" t="n"/>
      <c r="D251" s="13" t="n"/>
      <c r="E251" s="13" t="n"/>
      <c r="F251" s="15" t="n"/>
      <c r="G251" s="19" t="n"/>
      <c r="H251" s="17">
        <f>IF(OR(F251="",G251=""),"",ROUND(F251*9.80665*TAN(RADIANS(G251)),3))</f>
        <v/>
      </c>
      <c r="I251" s="18">
        <f>IF(G251="","",IF(G251&lt;45,"適合","要確認"))</f>
        <v/>
      </c>
      <c r="J251" s="13" t="n"/>
      <c r="K251" s="13" t="n"/>
    </row>
    <row r="252">
      <c r="A252" s="13" t="n"/>
      <c r="B252" s="14" t="n"/>
      <c r="C252" s="13" t="n"/>
      <c r="D252" s="13" t="n"/>
      <c r="E252" s="13" t="n"/>
      <c r="F252" s="15" t="n"/>
      <c r="G252" s="19" t="n"/>
      <c r="H252" s="17">
        <f>IF(OR(F252="",G252=""),"",ROUND(F252*9.80665*TAN(RADIANS(G252)),3))</f>
        <v/>
      </c>
      <c r="I252" s="18">
        <f>IF(G252="","",IF(G252&lt;45,"適合","要確認"))</f>
        <v/>
      </c>
      <c r="J252" s="13" t="n"/>
      <c r="K252" s="13" t="n"/>
    </row>
    <row r="253">
      <c r="A253" s="13" t="n"/>
      <c r="B253" s="14" t="n"/>
      <c r="C253" s="13" t="n"/>
      <c r="D253" s="13" t="n"/>
      <c r="E253" s="13" t="n"/>
      <c r="F253" s="15" t="n"/>
      <c r="G253" s="19" t="n"/>
      <c r="H253" s="17">
        <f>IF(OR(F253="",G253=""),"",ROUND(F253*9.80665*TAN(RADIANS(G253)),3))</f>
        <v/>
      </c>
      <c r="I253" s="18">
        <f>IF(G253="","",IF(G253&lt;45,"適合","要確認"))</f>
        <v/>
      </c>
      <c r="J253" s="13" t="n"/>
      <c r="K253" s="13" t="n"/>
    </row>
    <row r="254">
      <c r="A254" s="13" t="n"/>
      <c r="B254" s="14" t="n"/>
      <c r="C254" s="13" t="n"/>
      <c r="D254" s="13" t="n"/>
      <c r="E254" s="13" t="n"/>
      <c r="F254" s="15" t="n"/>
      <c r="G254" s="19" t="n"/>
      <c r="H254" s="17">
        <f>IF(OR(F254="",G254=""),"",ROUND(F254*9.80665*TAN(RADIANS(G254)),3))</f>
        <v/>
      </c>
      <c r="I254" s="18">
        <f>IF(G254="","",IF(G254&lt;45,"適合","要確認"))</f>
        <v/>
      </c>
      <c r="J254" s="13" t="n"/>
      <c r="K254" s="13" t="n"/>
    </row>
    <row r="255">
      <c r="A255" s="13" t="n"/>
      <c r="B255" s="14" t="n"/>
      <c r="C255" s="13" t="n"/>
      <c r="D255" s="13" t="n"/>
      <c r="E255" s="13" t="n"/>
      <c r="F255" s="15" t="n"/>
      <c r="G255" s="19" t="n"/>
      <c r="H255" s="17">
        <f>IF(OR(F255="",G255=""),"",ROUND(F255*9.80665*TAN(RADIANS(G255)),3))</f>
        <v/>
      </c>
      <c r="I255" s="18">
        <f>IF(G255="","",IF(G255&lt;45,"適合","要確認"))</f>
        <v/>
      </c>
      <c r="J255" s="13" t="n"/>
      <c r="K255" s="13" t="n"/>
    </row>
    <row r="256">
      <c r="A256" s="13" t="n"/>
      <c r="B256" s="14" t="n"/>
      <c r="C256" s="13" t="n"/>
      <c r="D256" s="13" t="n"/>
      <c r="E256" s="13" t="n"/>
      <c r="F256" s="15" t="n"/>
      <c r="G256" s="19" t="n"/>
      <c r="H256" s="17">
        <f>IF(OR(F256="",G256=""),"",ROUND(F256*9.80665*TAN(RADIANS(G256)),3))</f>
        <v/>
      </c>
      <c r="I256" s="18">
        <f>IF(G256="","",IF(G256&lt;45,"適合","要確認"))</f>
        <v/>
      </c>
      <c r="J256" s="13" t="n"/>
      <c r="K256" s="13" t="n"/>
    </row>
    <row r="257">
      <c r="A257" s="13" t="n"/>
      <c r="B257" s="14" t="n"/>
      <c r="C257" s="13" t="n"/>
      <c r="D257" s="13" t="n"/>
      <c r="E257" s="13" t="n"/>
      <c r="F257" s="15" t="n"/>
      <c r="G257" s="19" t="n"/>
      <c r="H257" s="17">
        <f>IF(OR(F257="",G257=""),"",ROUND(F257*9.80665*TAN(RADIANS(G257)),3))</f>
        <v/>
      </c>
      <c r="I257" s="18">
        <f>IF(G257="","",IF(G257&lt;45,"適合","要確認"))</f>
        <v/>
      </c>
      <c r="J257" s="13" t="n"/>
      <c r="K257" s="13" t="n"/>
    </row>
    <row r="258">
      <c r="A258" s="13" t="n"/>
      <c r="B258" s="14" t="n"/>
      <c r="C258" s="13" t="n"/>
      <c r="D258" s="13" t="n"/>
      <c r="E258" s="13" t="n"/>
      <c r="F258" s="15" t="n"/>
      <c r="G258" s="19" t="n"/>
      <c r="H258" s="17">
        <f>IF(OR(F258="",G258=""),"",ROUND(F258*9.80665*TAN(RADIANS(G258)),3))</f>
        <v/>
      </c>
      <c r="I258" s="18">
        <f>IF(G258="","",IF(G258&lt;45,"適合","要確認"))</f>
        <v/>
      </c>
      <c r="J258" s="13" t="n"/>
      <c r="K258" s="13" t="n"/>
    </row>
    <row r="259">
      <c r="A259" s="13" t="n"/>
      <c r="B259" s="14" t="n"/>
      <c r="C259" s="13" t="n"/>
      <c r="D259" s="13" t="n"/>
      <c r="E259" s="13" t="n"/>
      <c r="F259" s="15" t="n"/>
      <c r="G259" s="19" t="n"/>
      <c r="H259" s="17">
        <f>IF(OR(F259="",G259=""),"",ROUND(F259*9.80665*TAN(RADIANS(G259)),3))</f>
        <v/>
      </c>
      <c r="I259" s="18">
        <f>IF(G259="","",IF(G259&lt;45,"適合","要確認"))</f>
        <v/>
      </c>
      <c r="J259" s="13" t="n"/>
      <c r="K259" s="13" t="n"/>
    </row>
    <row r="260">
      <c r="A260" s="13" t="n"/>
      <c r="B260" s="14" t="n"/>
      <c r="C260" s="13" t="n"/>
      <c r="D260" s="13" t="n"/>
      <c r="E260" s="13" t="n"/>
      <c r="F260" s="15" t="n"/>
      <c r="G260" s="19" t="n"/>
      <c r="H260" s="17">
        <f>IF(OR(F260="",G260=""),"",ROUND(F260*9.80665*TAN(RADIANS(G260)),3))</f>
        <v/>
      </c>
      <c r="I260" s="18">
        <f>IF(G260="","",IF(G260&lt;45,"適合","要確認"))</f>
        <v/>
      </c>
      <c r="J260" s="13" t="n"/>
      <c r="K260" s="13" t="n"/>
    </row>
    <row r="261">
      <c r="A261" s="13" t="n"/>
      <c r="B261" s="14" t="n"/>
      <c r="C261" s="13" t="n"/>
      <c r="D261" s="13" t="n"/>
      <c r="E261" s="13" t="n"/>
      <c r="F261" s="15" t="n"/>
      <c r="G261" s="19" t="n"/>
      <c r="H261" s="17">
        <f>IF(OR(F261="",G261=""),"",ROUND(F261*9.80665*TAN(RADIANS(G261)),3))</f>
        <v/>
      </c>
      <c r="I261" s="18">
        <f>IF(G261="","",IF(G261&lt;45,"適合","要確認"))</f>
        <v/>
      </c>
      <c r="J261" s="13" t="n"/>
      <c r="K261" s="13" t="n"/>
    </row>
    <row r="262">
      <c r="A262" s="13" t="n"/>
      <c r="B262" s="14" t="n"/>
      <c r="C262" s="13" t="n"/>
      <c r="D262" s="13" t="n"/>
      <c r="E262" s="13" t="n"/>
      <c r="F262" s="15" t="n"/>
      <c r="G262" s="19" t="n"/>
      <c r="H262" s="17">
        <f>IF(OR(F262="",G262=""),"",ROUND(F262*9.80665*TAN(RADIANS(G262)),3))</f>
        <v/>
      </c>
      <c r="I262" s="18">
        <f>IF(G262="","",IF(G262&lt;45,"適合","要確認"))</f>
        <v/>
      </c>
      <c r="J262" s="13" t="n"/>
      <c r="K262" s="13" t="n"/>
    </row>
    <row r="263">
      <c r="A263" s="13" t="n"/>
      <c r="B263" s="14" t="n"/>
      <c r="C263" s="13" t="n"/>
      <c r="D263" s="13" t="n"/>
      <c r="E263" s="13" t="n"/>
      <c r="F263" s="15" t="n"/>
      <c r="G263" s="19" t="n"/>
      <c r="H263" s="17">
        <f>IF(OR(F263="",G263=""),"",ROUND(F263*9.80665*TAN(RADIANS(G263)),3))</f>
        <v/>
      </c>
      <c r="I263" s="18">
        <f>IF(G263="","",IF(G263&lt;45,"適合","要確認"))</f>
        <v/>
      </c>
      <c r="J263" s="13" t="n"/>
      <c r="K263" s="13" t="n"/>
    </row>
    <row r="264">
      <c r="A264" s="13" t="n"/>
      <c r="B264" s="14" t="n"/>
      <c r="C264" s="13" t="n"/>
      <c r="D264" s="13" t="n"/>
      <c r="E264" s="13" t="n"/>
      <c r="F264" s="15" t="n"/>
      <c r="G264" s="19" t="n"/>
      <c r="H264" s="17">
        <f>IF(OR(F264="",G264=""),"",ROUND(F264*9.80665*TAN(RADIANS(G264)),3))</f>
        <v/>
      </c>
      <c r="I264" s="18">
        <f>IF(G264="","",IF(G264&lt;45,"適合","要確認"))</f>
        <v/>
      </c>
      <c r="J264" s="13" t="n"/>
      <c r="K264" s="13" t="n"/>
    </row>
    <row r="265">
      <c r="A265" s="13" t="n"/>
      <c r="B265" s="14" t="n"/>
      <c r="C265" s="13" t="n"/>
      <c r="D265" s="13" t="n"/>
      <c r="E265" s="13" t="n"/>
      <c r="F265" s="15" t="n"/>
      <c r="G265" s="19" t="n"/>
      <c r="H265" s="17">
        <f>IF(OR(F265="",G265=""),"",ROUND(F265*9.80665*TAN(RADIANS(G265)),3))</f>
        <v/>
      </c>
      <c r="I265" s="18">
        <f>IF(G265="","",IF(G265&lt;45,"適合","要確認"))</f>
        <v/>
      </c>
      <c r="J265" s="13" t="n"/>
      <c r="K265" s="13" t="n"/>
    </row>
    <row r="266">
      <c r="A266" s="13" t="n"/>
      <c r="B266" s="14" t="n"/>
      <c r="C266" s="13" t="n"/>
      <c r="D266" s="13" t="n"/>
      <c r="E266" s="13" t="n"/>
      <c r="F266" s="15" t="n"/>
      <c r="G266" s="19" t="n"/>
      <c r="H266" s="17">
        <f>IF(OR(F266="",G266=""),"",ROUND(F266*9.80665*TAN(RADIANS(G266)),3))</f>
        <v/>
      </c>
      <c r="I266" s="18">
        <f>IF(G266="","",IF(G266&lt;45,"適合","要確認"))</f>
        <v/>
      </c>
      <c r="J266" s="13" t="n"/>
      <c r="K266" s="13" t="n"/>
    </row>
    <row r="267">
      <c r="A267" s="13" t="n"/>
      <c r="B267" s="14" t="n"/>
      <c r="C267" s="13" t="n"/>
      <c r="D267" s="13" t="n"/>
      <c r="E267" s="13" t="n"/>
      <c r="F267" s="15" t="n"/>
      <c r="G267" s="19" t="n"/>
      <c r="H267" s="17">
        <f>IF(OR(F267="",G267=""),"",ROUND(F267*9.80665*TAN(RADIANS(G267)),3))</f>
        <v/>
      </c>
      <c r="I267" s="18">
        <f>IF(G267="","",IF(G267&lt;45,"適合","要確認"))</f>
        <v/>
      </c>
      <c r="J267" s="13" t="n"/>
      <c r="K267" s="13" t="n"/>
    </row>
    <row r="268">
      <c r="A268" s="13" t="n"/>
      <c r="B268" s="14" t="n"/>
      <c r="C268" s="13" t="n"/>
      <c r="D268" s="13" t="n"/>
      <c r="E268" s="13" t="n"/>
      <c r="F268" s="15" t="n"/>
      <c r="G268" s="19" t="n"/>
      <c r="H268" s="17">
        <f>IF(OR(F268="",G268=""),"",ROUND(F268*9.80665*TAN(RADIANS(G268)),3))</f>
        <v/>
      </c>
      <c r="I268" s="18">
        <f>IF(G268="","",IF(G268&lt;45,"適合","要確認"))</f>
        <v/>
      </c>
      <c r="J268" s="13" t="n"/>
      <c r="K268" s="13" t="n"/>
    </row>
    <row r="269">
      <c r="A269" s="13" t="n"/>
      <c r="B269" s="14" t="n"/>
      <c r="C269" s="13" t="n"/>
      <c r="D269" s="13" t="n"/>
      <c r="E269" s="13" t="n"/>
      <c r="F269" s="15" t="n"/>
      <c r="G269" s="19" t="n"/>
      <c r="H269" s="17">
        <f>IF(OR(F269="",G269=""),"",ROUND(F269*9.80665*TAN(RADIANS(G269)),3))</f>
        <v/>
      </c>
      <c r="I269" s="18">
        <f>IF(G269="","",IF(G269&lt;45,"適合","要確認"))</f>
        <v/>
      </c>
      <c r="J269" s="13" t="n"/>
      <c r="K269" s="13" t="n"/>
    </row>
    <row r="270">
      <c r="A270" s="13" t="n"/>
      <c r="B270" s="14" t="n"/>
      <c r="C270" s="13" t="n"/>
      <c r="D270" s="13" t="n"/>
      <c r="E270" s="13" t="n"/>
      <c r="F270" s="15" t="n"/>
      <c r="G270" s="19" t="n"/>
      <c r="H270" s="17">
        <f>IF(OR(F270="",G270=""),"",ROUND(F270*9.80665*TAN(RADIANS(G270)),3))</f>
        <v/>
      </c>
      <c r="I270" s="18">
        <f>IF(G270="","",IF(G270&lt;45,"適合","要確認"))</f>
        <v/>
      </c>
      <c r="J270" s="13" t="n"/>
      <c r="K270" s="13" t="n"/>
    </row>
    <row r="271">
      <c r="A271" s="13" t="n"/>
      <c r="B271" s="14" t="n"/>
      <c r="C271" s="13" t="n"/>
      <c r="D271" s="13" t="n"/>
      <c r="E271" s="13" t="n"/>
      <c r="F271" s="15" t="n"/>
      <c r="G271" s="19" t="n"/>
      <c r="H271" s="17">
        <f>IF(OR(F271="",G271=""),"",ROUND(F271*9.80665*TAN(RADIANS(G271)),3))</f>
        <v/>
      </c>
      <c r="I271" s="18">
        <f>IF(G271="","",IF(G271&lt;45,"適合","要確認"))</f>
        <v/>
      </c>
      <c r="J271" s="13" t="n"/>
      <c r="K271" s="13" t="n"/>
    </row>
    <row r="272">
      <c r="A272" s="13" t="n"/>
      <c r="B272" s="14" t="n"/>
      <c r="C272" s="13" t="n"/>
      <c r="D272" s="13" t="n"/>
      <c r="E272" s="13" t="n"/>
      <c r="F272" s="15" t="n"/>
      <c r="G272" s="19" t="n"/>
      <c r="H272" s="17">
        <f>IF(OR(F272="",G272=""),"",ROUND(F272*9.80665*TAN(RADIANS(G272)),3))</f>
        <v/>
      </c>
      <c r="I272" s="18">
        <f>IF(G272="","",IF(G272&lt;45,"適合","要確認"))</f>
        <v/>
      </c>
      <c r="J272" s="13" t="n"/>
      <c r="K272" s="13" t="n"/>
    </row>
    <row r="273">
      <c r="A273" s="13" t="n"/>
      <c r="B273" s="14" t="n"/>
      <c r="C273" s="13" t="n"/>
      <c r="D273" s="13" t="n"/>
      <c r="E273" s="13" t="n"/>
      <c r="F273" s="15" t="n"/>
      <c r="G273" s="19" t="n"/>
      <c r="H273" s="17">
        <f>IF(OR(F273="",G273=""),"",ROUND(F273*9.80665*TAN(RADIANS(G273)),3))</f>
        <v/>
      </c>
      <c r="I273" s="18">
        <f>IF(G273="","",IF(G273&lt;45,"適合","要確認"))</f>
        <v/>
      </c>
      <c r="J273" s="13" t="n"/>
      <c r="K273" s="13" t="n"/>
    </row>
    <row r="274">
      <c r="A274" s="13" t="n"/>
      <c r="B274" s="14" t="n"/>
      <c r="C274" s="13" t="n"/>
      <c r="D274" s="13" t="n"/>
      <c r="E274" s="13" t="n"/>
      <c r="F274" s="15" t="n"/>
      <c r="G274" s="19" t="n"/>
      <c r="H274" s="17">
        <f>IF(OR(F274="",G274=""),"",ROUND(F274*9.80665*TAN(RADIANS(G274)),3))</f>
        <v/>
      </c>
      <c r="I274" s="18">
        <f>IF(G274="","",IF(G274&lt;45,"適合","要確認"))</f>
        <v/>
      </c>
      <c r="J274" s="13" t="n"/>
      <c r="K274" s="13" t="n"/>
    </row>
    <row r="275">
      <c r="A275" s="13" t="n"/>
      <c r="B275" s="14" t="n"/>
      <c r="C275" s="13" t="n"/>
      <c r="D275" s="13" t="n"/>
      <c r="E275" s="13" t="n"/>
      <c r="F275" s="15" t="n"/>
      <c r="G275" s="19" t="n"/>
      <c r="H275" s="17">
        <f>IF(OR(F275="",G275=""),"",ROUND(F275*9.80665*TAN(RADIANS(G275)),3))</f>
        <v/>
      </c>
      <c r="I275" s="18">
        <f>IF(G275="","",IF(G275&lt;45,"適合","要確認"))</f>
        <v/>
      </c>
      <c r="J275" s="13" t="n"/>
      <c r="K275" s="13" t="n"/>
    </row>
    <row r="276">
      <c r="A276" s="13" t="n"/>
      <c r="B276" s="14" t="n"/>
      <c r="C276" s="13" t="n"/>
      <c r="D276" s="13" t="n"/>
      <c r="E276" s="13" t="n"/>
      <c r="F276" s="15" t="n"/>
      <c r="G276" s="19" t="n"/>
      <c r="H276" s="17">
        <f>IF(OR(F276="",G276=""),"",ROUND(F276*9.80665*TAN(RADIANS(G276)),3))</f>
        <v/>
      </c>
      <c r="I276" s="18">
        <f>IF(G276="","",IF(G276&lt;45,"適合","要確認"))</f>
        <v/>
      </c>
      <c r="J276" s="13" t="n"/>
      <c r="K276" s="13" t="n"/>
    </row>
    <row r="277">
      <c r="A277" s="13" t="n"/>
      <c r="B277" s="14" t="n"/>
      <c r="C277" s="13" t="n"/>
      <c r="D277" s="13" t="n"/>
      <c r="E277" s="13" t="n"/>
      <c r="F277" s="15" t="n"/>
      <c r="G277" s="19" t="n"/>
      <c r="H277" s="17">
        <f>IF(OR(F277="",G277=""),"",ROUND(F277*9.80665*TAN(RADIANS(G277)),3))</f>
        <v/>
      </c>
      <c r="I277" s="18">
        <f>IF(G277="","",IF(G277&lt;45,"適合","要確認"))</f>
        <v/>
      </c>
      <c r="J277" s="13" t="n"/>
      <c r="K277" s="13" t="n"/>
    </row>
    <row r="278">
      <c r="A278" s="13" t="n"/>
      <c r="B278" s="14" t="n"/>
      <c r="C278" s="13" t="n"/>
      <c r="D278" s="13" t="n"/>
      <c r="E278" s="13" t="n"/>
      <c r="F278" s="15" t="n"/>
      <c r="G278" s="19" t="n"/>
      <c r="H278" s="17">
        <f>IF(OR(F278="",G278=""),"",ROUND(F278*9.80665*TAN(RADIANS(G278)),3))</f>
        <v/>
      </c>
      <c r="I278" s="18">
        <f>IF(G278="","",IF(G278&lt;45,"適合","要確認"))</f>
        <v/>
      </c>
      <c r="J278" s="13" t="n"/>
      <c r="K278" s="13" t="n"/>
    </row>
    <row r="279">
      <c r="A279" s="13" t="n"/>
      <c r="B279" s="14" t="n"/>
      <c r="C279" s="13" t="n"/>
      <c r="D279" s="13" t="n"/>
      <c r="E279" s="13" t="n"/>
      <c r="F279" s="15" t="n"/>
      <c r="G279" s="19" t="n"/>
      <c r="H279" s="17">
        <f>IF(OR(F279="",G279=""),"",ROUND(F279*9.80665*TAN(RADIANS(G279)),3))</f>
        <v/>
      </c>
      <c r="I279" s="18">
        <f>IF(G279="","",IF(G279&lt;45,"適合","要確認"))</f>
        <v/>
      </c>
      <c r="J279" s="13" t="n"/>
      <c r="K279" s="13" t="n"/>
    </row>
    <row r="280">
      <c r="A280" s="13" t="n"/>
      <c r="B280" s="14" t="n"/>
      <c r="C280" s="13" t="n"/>
      <c r="D280" s="13" t="n"/>
      <c r="E280" s="13" t="n"/>
      <c r="F280" s="15" t="n"/>
      <c r="G280" s="19" t="n"/>
      <c r="H280" s="17">
        <f>IF(OR(F280="",G280=""),"",ROUND(F280*9.80665*TAN(RADIANS(G280)),3))</f>
        <v/>
      </c>
      <c r="I280" s="18">
        <f>IF(G280="","",IF(G280&lt;45,"適合","要確認"))</f>
        <v/>
      </c>
      <c r="J280" s="13" t="n"/>
      <c r="K280" s="13" t="n"/>
    </row>
    <row r="281">
      <c r="A281" s="13" t="n"/>
      <c r="B281" s="14" t="n"/>
      <c r="C281" s="13" t="n"/>
      <c r="D281" s="13" t="n"/>
      <c r="E281" s="13" t="n"/>
      <c r="F281" s="15" t="n"/>
      <c r="G281" s="19" t="n"/>
      <c r="H281" s="17">
        <f>IF(OR(F281="",G281=""),"",ROUND(F281*9.80665*TAN(RADIANS(G281)),3))</f>
        <v/>
      </c>
      <c r="I281" s="18">
        <f>IF(G281="","",IF(G281&lt;45,"適合","要確認"))</f>
        <v/>
      </c>
      <c r="J281" s="13" t="n"/>
      <c r="K281" s="13" t="n"/>
    </row>
    <row r="282">
      <c r="A282" s="13" t="n"/>
      <c r="B282" s="14" t="n"/>
      <c r="C282" s="13" t="n"/>
      <c r="D282" s="13" t="n"/>
      <c r="E282" s="13" t="n"/>
      <c r="F282" s="15" t="n"/>
      <c r="G282" s="19" t="n"/>
      <c r="H282" s="17">
        <f>IF(OR(F282="",G282=""),"",ROUND(F282*9.80665*TAN(RADIANS(G282)),3))</f>
        <v/>
      </c>
      <c r="I282" s="18">
        <f>IF(G282="","",IF(G282&lt;45,"適合","要確認"))</f>
        <v/>
      </c>
      <c r="J282" s="13" t="n"/>
      <c r="K282" s="13" t="n"/>
    </row>
    <row r="283">
      <c r="A283" s="13" t="n"/>
      <c r="B283" s="14" t="n"/>
      <c r="C283" s="13" t="n"/>
      <c r="D283" s="13" t="n"/>
      <c r="E283" s="13" t="n"/>
      <c r="F283" s="15" t="n"/>
      <c r="G283" s="19" t="n"/>
      <c r="H283" s="17">
        <f>IF(OR(F283="",G283=""),"",ROUND(F283*9.80665*TAN(RADIANS(G283)),3))</f>
        <v/>
      </c>
      <c r="I283" s="18">
        <f>IF(G283="","",IF(G283&lt;45,"適合","要確認"))</f>
        <v/>
      </c>
      <c r="J283" s="13" t="n"/>
      <c r="K283" s="13" t="n"/>
    </row>
    <row r="284">
      <c r="A284" s="13" t="n"/>
      <c r="B284" s="14" t="n"/>
      <c r="C284" s="13" t="n"/>
      <c r="D284" s="13" t="n"/>
      <c r="E284" s="13" t="n"/>
      <c r="F284" s="15" t="n"/>
      <c r="G284" s="19" t="n"/>
      <c r="H284" s="17">
        <f>IF(OR(F284="",G284=""),"",ROUND(F284*9.80665*TAN(RADIANS(G284)),3))</f>
        <v/>
      </c>
      <c r="I284" s="18">
        <f>IF(G284="","",IF(G284&lt;45,"適合","要確認"))</f>
        <v/>
      </c>
      <c r="J284" s="13" t="n"/>
      <c r="K284" s="13" t="n"/>
    </row>
    <row r="285">
      <c r="A285" s="13" t="n"/>
      <c r="B285" s="14" t="n"/>
      <c r="C285" s="13" t="n"/>
      <c r="D285" s="13" t="n"/>
      <c r="E285" s="13" t="n"/>
      <c r="F285" s="15" t="n"/>
      <c r="G285" s="19" t="n"/>
      <c r="H285" s="17">
        <f>IF(OR(F285="",G285=""),"",ROUND(F285*9.80665*TAN(RADIANS(G285)),3))</f>
        <v/>
      </c>
      <c r="I285" s="18">
        <f>IF(G285="","",IF(G285&lt;45,"適合","要確認"))</f>
        <v/>
      </c>
      <c r="J285" s="13" t="n"/>
      <c r="K285" s="13" t="n"/>
    </row>
    <row r="286">
      <c r="A286" s="13" t="n"/>
      <c r="B286" s="14" t="n"/>
      <c r="C286" s="13" t="n"/>
      <c r="D286" s="13" t="n"/>
      <c r="E286" s="13" t="n"/>
      <c r="F286" s="15" t="n"/>
      <c r="G286" s="19" t="n"/>
      <c r="H286" s="17">
        <f>IF(OR(F286="",G286=""),"",ROUND(F286*9.80665*TAN(RADIANS(G286)),3))</f>
        <v/>
      </c>
      <c r="I286" s="18">
        <f>IF(G286="","",IF(G286&lt;45,"適合","要確認"))</f>
        <v/>
      </c>
      <c r="J286" s="13" t="n"/>
      <c r="K286" s="13" t="n"/>
    </row>
    <row r="287">
      <c r="A287" s="13" t="n"/>
      <c r="B287" s="14" t="n"/>
      <c r="C287" s="13" t="n"/>
      <c r="D287" s="13" t="n"/>
      <c r="E287" s="13" t="n"/>
      <c r="F287" s="15" t="n"/>
      <c r="G287" s="19" t="n"/>
      <c r="H287" s="17">
        <f>IF(OR(F287="",G287=""),"",ROUND(F287*9.80665*TAN(RADIANS(G287)),3))</f>
        <v/>
      </c>
      <c r="I287" s="18">
        <f>IF(G287="","",IF(G287&lt;45,"適合","要確認"))</f>
        <v/>
      </c>
      <c r="J287" s="13" t="n"/>
      <c r="K287" s="13" t="n"/>
    </row>
    <row r="288">
      <c r="A288" s="13" t="n"/>
      <c r="B288" s="14" t="n"/>
      <c r="C288" s="13" t="n"/>
      <c r="D288" s="13" t="n"/>
      <c r="E288" s="13" t="n"/>
      <c r="F288" s="15" t="n"/>
      <c r="G288" s="19" t="n"/>
      <c r="H288" s="17">
        <f>IF(OR(F288="",G288=""),"",ROUND(F288*9.80665*TAN(RADIANS(G288)),3))</f>
        <v/>
      </c>
      <c r="I288" s="18">
        <f>IF(G288="","",IF(G288&lt;45,"適合","要確認"))</f>
        <v/>
      </c>
      <c r="J288" s="13" t="n"/>
      <c r="K288" s="13" t="n"/>
    </row>
    <row r="289">
      <c r="A289" s="13" t="n"/>
      <c r="B289" s="14" t="n"/>
      <c r="C289" s="13" t="n"/>
      <c r="D289" s="13" t="n"/>
      <c r="E289" s="13" t="n"/>
      <c r="F289" s="15" t="n"/>
      <c r="G289" s="19" t="n"/>
      <c r="H289" s="17">
        <f>IF(OR(F289="",G289=""),"",ROUND(F289*9.80665*TAN(RADIANS(G289)),3))</f>
        <v/>
      </c>
      <c r="I289" s="18">
        <f>IF(G289="","",IF(G289&lt;45,"適合","要確認"))</f>
        <v/>
      </c>
      <c r="J289" s="13" t="n"/>
      <c r="K289" s="13" t="n"/>
    </row>
    <row r="290">
      <c r="A290" s="13" t="n"/>
      <c r="B290" s="14" t="n"/>
      <c r="C290" s="13" t="n"/>
      <c r="D290" s="13" t="n"/>
      <c r="E290" s="13" t="n"/>
      <c r="F290" s="15" t="n"/>
      <c r="G290" s="19" t="n"/>
      <c r="H290" s="17">
        <f>IF(OR(F290="",G290=""),"",ROUND(F290*9.80665*TAN(RADIANS(G290)),3))</f>
        <v/>
      </c>
      <c r="I290" s="18">
        <f>IF(G290="","",IF(G290&lt;45,"適合","要確認"))</f>
        <v/>
      </c>
      <c r="J290" s="13" t="n"/>
      <c r="K290" s="13" t="n"/>
    </row>
    <row r="291">
      <c r="A291" s="13" t="n"/>
      <c r="B291" s="14" t="n"/>
      <c r="C291" s="13" t="n"/>
      <c r="D291" s="13" t="n"/>
      <c r="E291" s="13" t="n"/>
      <c r="F291" s="15" t="n"/>
      <c r="G291" s="19" t="n"/>
      <c r="H291" s="17">
        <f>IF(OR(F291="",G291=""),"",ROUND(F291*9.80665*TAN(RADIANS(G291)),3))</f>
        <v/>
      </c>
      <c r="I291" s="18">
        <f>IF(G291="","",IF(G291&lt;45,"適合","要確認"))</f>
        <v/>
      </c>
      <c r="J291" s="13" t="n"/>
      <c r="K291" s="13" t="n"/>
    </row>
    <row r="292">
      <c r="A292" s="13" t="n"/>
      <c r="B292" s="14" t="n"/>
      <c r="C292" s="13" t="n"/>
      <c r="D292" s="13" t="n"/>
      <c r="E292" s="13" t="n"/>
      <c r="F292" s="15" t="n"/>
      <c r="G292" s="19" t="n"/>
      <c r="H292" s="17">
        <f>IF(OR(F292="",G292=""),"",ROUND(F292*9.80665*TAN(RADIANS(G292)),3))</f>
        <v/>
      </c>
      <c r="I292" s="18">
        <f>IF(G292="","",IF(G292&lt;45,"適合","要確認"))</f>
        <v/>
      </c>
      <c r="J292" s="13" t="n"/>
      <c r="K292" s="13" t="n"/>
    </row>
    <row r="293">
      <c r="A293" s="13" t="n"/>
      <c r="B293" s="14" t="n"/>
      <c r="C293" s="13" t="n"/>
      <c r="D293" s="13" t="n"/>
      <c r="E293" s="13" t="n"/>
      <c r="F293" s="15" t="n"/>
      <c r="G293" s="19" t="n"/>
      <c r="H293" s="17">
        <f>IF(OR(F293="",G293=""),"",ROUND(F293*9.80665*TAN(RADIANS(G293)),3))</f>
        <v/>
      </c>
      <c r="I293" s="18">
        <f>IF(G293="","",IF(G293&lt;45,"適合","要確認"))</f>
        <v/>
      </c>
      <c r="J293" s="13" t="n"/>
      <c r="K293" s="13" t="n"/>
    </row>
    <row r="294">
      <c r="A294" s="13" t="n"/>
      <c r="B294" s="14" t="n"/>
      <c r="C294" s="13" t="n"/>
      <c r="D294" s="13" t="n"/>
      <c r="E294" s="13" t="n"/>
      <c r="F294" s="15" t="n"/>
      <c r="G294" s="19" t="n"/>
      <c r="H294" s="17">
        <f>IF(OR(F294="",G294=""),"",ROUND(F294*9.80665*TAN(RADIANS(G294)),3))</f>
        <v/>
      </c>
      <c r="I294" s="18">
        <f>IF(G294="","",IF(G294&lt;45,"適合","要確認"))</f>
        <v/>
      </c>
      <c r="J294" s="13" t="n"/>
      <c r="K294" s="13" t="n"/>
    </row>
    <row r="295">
      <c r="A295" s="13" t="n"/>
      <c r="B295" s="14" t="n"/>
      <c r="C295" s="13" t="n"/>
      <c r="D295" s="13" t="n"/>
      <c r="E295" s="13" t="n"/>
      <c r="F295" s="15" t="n"/>
      <c r="G295" s="19" t="n"/>
      <c r="H295" s="17">
        <f>IF(OR(F295="",G295=""),"",ROUND(F295*9.80665*TAN(RADIANS(G295)),3))</f>
        <v/>
      </c>
      <c r="I295" s="18">
        <f>IF(G295="","",IF(G295&lt;45,"適合","要確認"))</f>
        <v/>
      </c>
      <c r="J295" s="13" t="n"/>
      <c r="K295" s="13" t="n"/>
    </row>
    <row r="296">
      <c r="A296" s="13" t="n"/>
      <c r="B296" s="14" t="n"/>
      <c r="C296" s="13" t="n"/>
      <c r="D296" s="13" t="n"/>
      <c r="E296" s="13" t="n"/>
      <c r="F296" s="15" t="n"/>
      <c r="G296" s="19" t="n"/>
      <c r="H296" s="17">
        <f>IF(OR(F296="",G296=""),"",ROUND(F296*9.80665*TAN(RADIANS(G296)),3))</f>
        <v/>
      </c>
      <c r="I296" s="18">
        <f>IF(G296="","",IF(G296&lt;45,"適合","要確認"))</f>
        <v/>
      </c>
      <c r="J296" s="13" t="n"/>
      <c r="K296" s="13" t="n"/>
    </row>
    <row r="297">
      <c r="A297" s="13" t="n"/>
      <c r="B297" s="14" t="n"/>
      <c r="C297" s="13" t="n"/>
      <c r="D297" s="13" t="n"/>
      <c r="E297" s="13" t="n"/>
      <c r="F297" s="15" t="n"/>
      <c r="G297" s="19" t="n"/>
      <c r="H297" s="17">
        <f>IF(OR(F297="",G297=""),"",ROUND(F297*9.80665*TAN(RADIANS(G297)),3))</f>
        <v/>
      </c>
      <c r="I297" s="18">
        <f>IF(G297="","",IF(G297&lt;45,"適合","要確認"))</f>
        <v/>
      </c>
      <c r="J297" s="13" t="n"/>
      <c r="K297" s="13" t="n"/>
    </row>
    <row r="298">
      <c r="A298" s="13" t="n"/>
      <c r="B298" s="14" t="n"/>
      <c r="C298" s="13" t="n"/>
      <c r="D298" s="13" t="n"/>
      <c r="E298" s="13" t="n"/>
      <c r="F298" s="15" t="n"/>
      <c r="G298" s="19" t="n"/>
      <c r="H298" s="17">
        <f>IF(OR(F298="",G298=""),"",ROUND(F298*9.80665*TAN(RADIANS(G298)),3))</f>
        <v/>
      </c>
      <c r="I298" s="18">
        <f>IF(G298="","",IF(G298&lt;45,"適合","要確認"))</f>
        <v/>
      </c>
      <c r="J298" s="13" t="n"/>
      <c r="K298" s="13" t="n"/>
    </row>
    <row r="299">
      <c r="A299" s="13" t="n"/>
      <c r="B299" s="14" t="n"/>
      <c r="C299" s="13" t="n"/>
      <c r="D299" s="13" t="n"/>
      <c r="E299" s="13" t="n"/>
      <c r="F299" s="15" t="n"/>
      <c r="G299" s="19" t="n"/>
      <c r="H299" s="17">
        <f>IF(OR(F299="",G299=""),"",ROUND(F299*9.80665*TAN(RADIANS(G299)),3))</f>
        <v/>
      </c>
      <c r="I299" s="18">
        <f>IF(G299="","",IF(G299&lt;45,"適合","要確認"))</f>
        <v/>
      </c>
      <c r="J299" s="13" t="n"/>
      <c r="K299" s="13" t="n"/>
    </row>
    <row r="300">
      <c r="A300" s="13" t="n"/>
      <c r="B300" s="14" t="n"/>
      <c r="C300" s="13" t="n"/>
      <c r="D300" s="13" t="n"/>
      <c r="E300" s="13" t="n"/>
      <c r="F300" s="15" t="n"/>
      <c r="G300" s="19" t="n"/>
      <c r="H300" s="17">
        <f>IF(OR(F300="",G300=""),"",ROUND(F300*9.80665*TAN(RADIANS(G300)),3))</f>
        <v/>
      </c>
      <c r="I300" s="18">
        <f>IF(G300="","",IF(G300&lt;45,"適合","要確認"))</f>
        <v/>
      </c>
      <c r="J300" s="13" t="n"/>
      <c r="K300" s="13" t="n"/>
    </row>
    <row r="301">
      <c r="A301" s="13" t="n"/>
      <c r="B301" s="14" t="n"/>
      <c r="C301" s="13" t="n"/>
      <c r="D301" s="13" t="n"/>
      <c r="E301" s="13" t="n"/>
      <c r="F301" s="15" t="n"/>
      <c r="G301" s="19" t="n"/>
      <c r="H301" s="17">
        <f>IF(OR(F301="",G301=""),"",ROUND(F301*9.80665*TAN(RADIANS(G301)),3))</f>
        <v/>
      </c>
      <c r="I301" s="18">
        <f>IF(G301="","",IF(G301&lt;45,"適合","要確認"))</f>
        <v/>
      </c>
      <c r="J301" s="13" t="n"/>
      <c r="K301" s="13" t="n"/>
    </row>
    <row r="302">
      <c r="A302" s="13" t="n"/>
      <c r="B302" s="14" t="n"/>
      <c r="C302" s="13" t="n"/>
      <c r="D302" s="13" t="n"/>
      <c r="E302" s="13" t="n"/>
      <c r="F302" s="15" t="n"/>
      <c r="G302" s="19" t="n"/>
      <c r="H302" s="17">
        <f>IF(OR(F302="",G302=""),"",ROUND(F302*9.80665*TAN(RADIANS(G302)),3))</f>
        <v/>
      </c>
      <c r="I302" s="18">
        <f>IF(G302="","",IF(G302&lt;45,"適合","要確認"))</f>
        <v/>
      </c>
      <c r="J302" s="13" t="n"/>
      <c r="K302" s="13" t="n"/>
    </row>
    <row r="303">
      <c r="A303" s="13" t="n"/>
      <c r="B303" s="14" t="n"/>
      <c r="C303" s="13" t="n"/>
      <c r="D303" s="13" t="n"/>
      <c r="E303" s="13" t="n"/>
      <c r="F303" s="15" t="n"/>
      <c r="G303" s="19" t="n"/>
      <c r="H303" s="17">
        <f>IF(OR(F303="",G303=""),"",ROUND(F303*9.80665*TAN(RADIANS(G303)),3))</f>
        <v/>
      </c>
      <c r="I303" s="18">
        <f>IF(G303="","",IF(G303&lt;45,"適合","要確認"))</f>
        <v/>
      </c>
      <c r="J303" s="13" t="n"/>
      <c r="K303" s="13" t="n"/>
    </row>
    <row r="304">
      <c r="A304" s="13" t="n"/>
      <c r="B304" s="14" t="n"/>
      <c r="C304" s="13" t="n"/>
      <c r="D304" s="13" t="n"/>
      <c r="E304" s="13" t="n"/>
      <c r="F304" s="15" t="n"/>
      <c r="G304" s="19" t="n"/>
      <c r="H304" s="17">
        <f>IF(OR(F304="",G304=""),"",ROUND(F304*9.80665*TAN(RADIANS(G304)),3))</f>
        <v/>
      </c>
      <c r="I304" s="18">
        <f>IF(G304="","",IF(G304&lt;45,"適合","要確認"))</f>
        <v/>
      </c>
      <c r="J304" s="13" t="n"/>
      <c r="K304" s="13" t="n"/>
    </row>
    <row r="305">
      <c r="A305" s="13" t="n"/>
      <c r="B305" s="14" t="n"/>
      <c r="C305" s="13" t="n"/>
      <c r="D305" s="13" t="n"/>
      <c r="E305" s="13" t="n"/>
      <c r="F305" s="15" t="n"/>
      <c r="G305" s="19" t="n"/>
      <c r="H305" s="17">
        <f>IF(OR(F305="",G305=""),"",ROUND(F305*9.80665*TAN(RADIANS(G305)),3))</f>
        <v/>
      </c>
      <c r="I305" s="18">
        <f>IF(G305="","",IF(G305&lt;45,"適合","要確認"))</f>
        <v/>
      </c>
      <c r="J305" s="13" t="n"/>
      <c r="K305" s="13" t="n"/>
    </row>
    <row r="306">
      <c r="A306" s="13" t="n"/>
      <c r="B306" s="14" t="n"/>
      <c r="C306" s="13" t="n"/>
      <c r="D306" s="13" t="n"/>
      <c r="E306" s="13" t="n"/>
      <c r="F306" s="15" t="n"/>
      <c r="G306" s="19" t="n"/>
      <c r="H306" s="17">
        <f>IF(OR(F306="",G306=""),"",ROUND(F306*9.80665*TAN(RADIANS(G306)),3))</f>
        <v/>
      </c>
      <c r="I306" s="18">
        <f>IF(G306="","",IF(G306&lt;45,"適合","要確認"))</f>
        <v/>
      </c>
      <c r="J306" s="13" t="n"/>
      <c r="K306" s="13" t="n"/>
    </row>
    <row r="307">
      <c r="A307" s="13" t="n"/>
      <c r="B307" s="14" t="n"/>
      <c r="C307" s="13" t="n"/>
      <c r="D307" s="13" t="n"/>
      <c r="E307" s="13" t="n"/>
      <c r="F307" s="15" t="n"/>
      <c r="G307" s="19" t="n"/>
      <c r="H307" s="17">
        <f>IF(OR(F307="",G307=""),"",ROUND(F307*9.80665*TAN(RADIANS(G307)),3))</f>
        <v/>
      </c>
      <c r="I307" s="18">
        <f>IF(G307="","",IF(G307&lt;45,"適合","要確認"))</f>
        <v/>
      </c>
      <c r="J307" s="13" t="n"/>
      <c r="K307" s="13" t="n"/>
    </row>
    <row r="308">
      <c r="A308" s="13" t="n"/>
      <c r="B308" s="14" t="n"/>
      <c r="C308" s="13" t="n"/>
      <c r="D308" s="13" t="n"/>
      <c r="E308" s="13" t="n"/>
      <c r="F308" s="15" t="n"/>
      <c r="G308" s="19" t="n"/>
      <c r="H308" s="17">
        <f>IF(OR(F308="",G308=""),"",ROUND(F308*9.80665*TAN(RADIANS(G308)),3))</f>
        <v/>
      </c>
      <c r="I308" s="18">
        <f>IF(G308="","",IF(G308&lt;45,"適合","要確認"))</f>
        <v/>
      </c>
      <c r="J308" s="13" t="n"/>
      <c r="K308" s="13" t="n"/>
    </row>
    <row r="309">
      <c r="A309" s="13" t="n"/>
      <c r="B309" s="14" t="n"/>
      <c r="C309" s="13" t="n"/>
      <c r="D309" s="13" t="n"/>
      <c r="E309" s="13" t="n"/>
      <c r="F309" s="15" t="n"/>
      <c r="G309" s="19" t="n"/>
      <c r="H309" s="17">
        <f>IF(OR(F309="",G309=""),"",ROUND(F309*9.80665*TAN(RADIANS(G309)),3))</f>
        <v/>
      </c>
      <c r="I309" s="18">
        <f>IF(G309="","",IF(G309&lt;45,"適合","要確認"))</f>
        <v/>
      </c>
      <c r="J309" s="13" t="n"/>
      <c r="K309" s="13" t="n"/>
    </row>
    <row r="310">
      <c r="A310" s="13" t="n"/>
      <c r="B310" s="14" t="n"/>
      <c r="C310" s="13" t="n"/>
      <c r="D310" s="13" t="n"/>
      <c r="E310" s="13" t="n"/>
      <c r="F310" s="15" t="n"/>
      <c r="G310" s="19" t="n"/>
      <c r="H310" s="17">
        <f>IF(OR(F310="",G310=""),"",ROUND(F310*9.80665*TAN(RADIANS(G310)),3))</f>
        <v/>
      </c>
      <c r="I310" s="18">
        <f>IF(G310="","",IF(G310&lt;45,"適合","要確認"))</f>
        <v/>
      </c>
      <c r="J310" s="13" t="n"/>
      <c r="K310" s="13" t="n"/>
    </row>
    <row r="311">
      <c r="A311" s="13" t="n"/>
      <c r="B311" s="14" t="n"/>
      <c r="C311" s="13" t="n"/>
      <c r="D311" s="13" t="n"/>
      <c r="E311" s="13" t="n"/>
      <c r="F311" s="15" t="n"/>
      <c r="G311" s="19" t="n"/>
      <c r="H311" s="17">
        <f>IF(OR(F311="",G311=""),"",ROUND(F311*9.80665*TAN(RADIANS(G311)),3))</f>
        <v/>
      </c>
      <c r="I311" s="18">
        <f>IF(G311="","",IF(G311&lt;45,"適合","要確認"))</f>
        <v/>
      </c>
      <c r="J311" s="13" t="n"/>
      <c r="K311" s="13" t="n"/>
    </row>
    <row r="312">
      <c r="A312" s="13" t="n"/>
      <c r="B312" s="14" t="n"/>
      <c r="C312" s="13" t="n"/>
      <c r="D312" s="13" t="n"/>
      <c r="E312" s="13" t="n"/>
      <c r="F312" s="15" t="n"/>
      <c r="G312" s="19" t="n"/>
      <c r="H312" s="17">
        <f>IF(OR(F312="",G312=""),"",ROUND(F312*9.80665*TAN(RADIANS(G312)),3))</f>
        <v/>
      </c>
      <c r="I312" s="18">
        <f>IF(G312="","",IF(G312&lt;45,"適合","要確認"))</f>
        <v/>
      </c>
      <c r="J312" s="13" t="n"/>
      <c r="K312" s="13" t="n"/>
    </row>
    <row r="313">
      <c r="A313" s="13" t="n"/>
      <c r="B313" s="14" t="n"/>
      <c r="C313" s="13" t="n"/>
      <c r="D313" s="13" t="n"/>
      <c r="E313" s="13" t="n"/>
      <c r="F313" s="15" t="n"/>
      <c r="G313" s="19" t="n"/>
      <c r="H313" s="17">
        <f>IF(OR(F313="",G313=""),"",ROUND(F313*9.80665*TAN(RADIANS(G313)),3))</f>
        <v/>
      </c>
      <c r="I313" s="18">
        <f>IF(G313="","",IF(G313&lt;45,"適合","要確認"))</f>
        <v/>
      </c>
      <c r="J313" s="13" t="n"/>
      <c r="K313" s="13" t="n"/>
    </row>
    <row r="314">
      <c r="A314" s="13" t="n"/>
      <c r="B314" s="14" t="n"/>
      <c r="C314" s="13" t="n"/>
      <c r="D314" s="13" t="n"/>
      <c r="E314" s="13" t="n"/>
      <c r="F314" s="15" t="n"/>
      <c r="G314" s="19" t="n"/>
      <c r="H314" s="17">
        <f>IF(OR(F314="",G314=""),"",ROUND(F314*9.80665*TAN(RADIANS(G314)),3))</f>
        <v/>
      </c>
      <c r="I314" s="18">
        <f>IF(G314="","",IF(G314&lt;45,"適合","要確認"))</f>
        <v/>
      </c>
      <c r="J314" s="13" t="n"/>
      <c r="K314" s="13" t="n"/>
    </row>
    <row r="315">
      <c r="A315" s="13" t="n"/>
      <c r="B315" s="14" t="n"/>
      <c r="C315" s="13" t="n"/>
      <c r="D315" s="13" t="n"/>
      <c r="E315" s="13" t="n"/>
      <c r="F315" s="15" t="n"/>
      <c r="G315" s="19" t="n"/>
      <c r="H315" s="17">
        <f>IF(OR(F315="",G315=""),"",ROUND(F315*9.80665*TAN(RADIANS(G315)),3))</f>
        <v/>
      </c>
      <c r="I315" s="18">
        <f>IF(G315="","",IF(G315&lt;45,"適合","要確認"))</f>
        <v/>
      </c>
      <c r="J315" s="13" t="n"/>
      <c r="K315" s="13" t="n"/>
    </row>
    <row r="316">
      <c r="A316" s="13" t="n"/>
      <c r="B316" s="14" t="n"/>
      <c r="C316" s="13" t="n"/>
      <c r="D316" s="13" t="n"/>
      <c r="E316" s="13" t="n"/>
      <c r="F316" s="15" t="n"/>
      <c r="G316" s="19" t="n"/>
      <c r="H316" s="17">
        <f>IF(OR(F316="",G316=""),"",ROUND(F316*9.80665*TAN(RADIANS(G316)),3))</f>
        <v/>
      </c>
      <c r="I316" s="18">
        <f>IF(G316="","",IF(G316&lt;45,"適合","要確認"))</f>
        <v/>
      </c>
      <c r="J316" s="13" t="n"/>
      <c r="K316" s="13" t="n"/>
    </row>
    <row r="317">
      <c r="A317" s="13" t="n"/>
      <c r="B317" s="14" t="n"/>
      <c r="C317" s="13" t="n"/>
      <c r="D317" s="13" t="n"/>
      <c r="E317" s="13" t="n"/>
      <c r="F317" s="15" t="n"/>
      <c r="G317" s="19" t="n"/>
      <c r="H317" s="17">
        <f>IF(OR(F317="",G317=""),"",ROUND(F317*9.80665*TAN(RADIANS(G317)),3))</f>
        <v/>
      </c>
      <c r="I317" s="18">
        <f>IF(G317="","",IF(G317&lt;45,"適合","要確認"))</f>
        <v/>
      </c>
      <c r="J317" s="13" t="n"/>
      <c r="K317" s="13" t="n"/>
    </row>
    <row r="318">
      <c r="A318" s="13" t="n"/>
      <c r="B318" s="14" t="n"/>
      <c r="C318" s="13" t="n"/>
      <c r="D318" s="13" t="n"/>
      <c r="E318" s="13" t="n"/>
      <c r="F318" s="15" t="n"/>
      <c r="G318" s="19" t="n"/>
      <c r="H318" s="17">
        <f>IF(OR(F318="",G318=""),"",ROUND(F318*9.80665*TAN(RADIANS(G318)),3))</f>
        <v/>
      </c>
      <c r="I318" s="18">
        <f>IF(G318="","",IF(G318&lt;45,"適合","要確認"))</f>
        <v/>
      </c>
      <c r="J318" s="13" t="n"/>
      <c r="K318" s="13" t="n"/>
    </row>
    <row r="319">
      <c r="A319" s="13" t="n"/>
      <c r="B319" s="14" t="n"/>
      <c r="C319" s="13" t="n"/>
      <c r="D319" s="13" t="n"/>
      <c r="E319" s="13" t="n"/>
      <c r="F319" s="15" t="n"/>
      <c r="G319" s="19" t="n"/>
      <c r="H319" s="17">
        <f>IF(OR(F319="",G319=""),"",ROUND(F319*9.80665*TAN(RADIANS(G319)),3))</f>
        <v/>
      </c>
      <c r="I319" s="18">
        <f>IF(G319="","",IF(G319&lt;45,"適合","要確認"))</f>
        <v/>
      </c>
      <c r="J319" s="13" t="n"/>
      <c r="K319" s="13" t="n"/>
    </row>
    <row r="320">
      <c r="A320" s="13" t="n"/>
      <c r="B320" s="14" t="n"/>
      <c r="C320" s="13" t="n"/>
      <c r="D320" s="13" t="n"/>
      <c r="E320" s="13" t="n"/>
      <c r="F320" s="15" t="n"/>
      <c r="G320" s="19" t="n"/>
      <c r="H320" s="17">
        <f>IF(OR(F320="",G320=""),"",ROUND(F320*9.80665*TAN(RADIANS(G320)),3))</f>
        <v/>
      </c>
      <c r="I320" s="18">
        <f>IF(G320="","",IF(G320&lt;45,"適合","要確認"))</f>
        <v/>
      </c>
      <c r="J320" s="13" t="n"/>
      <c r="K320" s="13" t="n"/>
    </row>
    <row r="321">
      <c r="A321" s="13" t="n"/>
      <c r="B321" s="14" t="n"/>
      <c r="C321" s="13" t="n"/>
      <c r="D321" s="13" t="n"/>
      <c r="E321" s="13" t="n"/>
      <c r="F321" s="15" t="n"/>
      <c r="G321" s="19" t="n"/>
      <c r="H321" s="17">
        <f>IF(OR(F321="",G321=""),"",ROUND(F321*9.80665*TAN(RADIANS(G321)),3))</f>
        <v/>
      </c>
      <c r="I321" s="18">
        <f>IF(G321="","",IF(G321&lt;45,"適合","要確認"))</f>
        <v/>
      </c>
      <c r="J321" s="13" t="n"/>
      <c r="K321" s="13" t="n"/>
    </row>
    <row r="322">
      <c r="A322" s="13" t="n"/>
      <c r="B322" s="14" t="n"/>
      <c r="C322" s="13" t="n"/>
      <c r="D322" s="13" t="n"/>
      <c r="E322" s="13" t="n"/>
      <c r="F322" s="15" t="n"/>
      <c r="G322" s="19" t="n"/>
      <c r="H322" s="17">
        <f>IF(OR(F322="",G322=""),"",ROUND(F322*9.80665*TAN(RADIANS(G322)),3))</f>
        <v/>
      </c>
      <c r="I322" s="18">
        <f>IF(G322="","",IF(G322&lt;45,"適合","要確認"))</f>
        <v/>
      </c>
      <c r="J322" s="13" t="n"/>
      <c r="K322" s="13" t="n"/>
    </row>
    <row r="323">
      <c r="A323" s="13" t="n"/>
      <c r="B323" s="14" t="n"/>
      <c r="C323" s="13" t="n"/>
      <c r="D323" s="13" t="n"/>
      <c r="E323" s="13" t="n"/>
      <c r="F323" s="15" t="n"/>
      <c r="G323" s="19" t="n"/>
      <c r="H323" s="17">
        <f>IF(OR(F323="",G323=""),"",ROUND(F323*9.80665*TAN(RADIANS(G323)),3))</f>
        <v/>
      </c>
      <c r="I323" s="18">
        <f>IF(G323="","",IF(G323&lt;45,"適合","要確認"))</f>
        <v/>
      </c>
      <c r="J323" s="13" t="n"/>
      <c r="K323" s="13" t="n"/>
    </row>
    <row r="324">
      <c r="A324" s="13" t="n"/>
      <c r="B324" s="14" t="n"/>
      <c r="C324" s="13" t="n"/>
      <c r="D324" s="13" t="n"/>
      <c r="E324" s="13" t="n"/>
      <c r="F324" s="15" t="n"/>
      <c r="G324" s="19" t="n"/>
      <c r="H324" s="17">
        <f>IF(OR(F324="",G324=""),"",ROUND(F324*9.80665*TAN(RADIANS(G324)),3))</f>
        <v/>
      </c>
      <c r="I324" s="18">
        <f>IF(G324="","",IF(G324&lt;45,"適合","要確認"))</f>
        <v/>
      </c>
      <c r="J324" s="13" t="n"/>
      <c r="K324" s="13" t="n"/>
    </row>
    <row r="325">
      <c r="A325" s="13" t="n"/>
      <c r="B325" s="14" t="n"/>
      <c r="C325" s="13" t="n"/>
      <c r="D325" s="13" t="n"/>
      <c r="E325" s="13" t="n"/>
      <c r="F325" s="15" t="n"/>
      <c r="G325" s="19" t="n"/>
      <c r="H325" s="17">
        <f>IF(OR(F325="",G325=""),"",ROUND(F325*9.80665*TAN(RADIANS(G325)),3))</f>
        <v/>
      </c>
      <c r="I325" s="18">
        <f>IF(G325="","",IF(G325&lt;45,"適合","要確認"))</f>
        <v/>
      </c>
      <c r="J325" s="13" t="n"/>
      <c r="K325" s="13" t="n"/>
    </row>
    <row r="326">
      <c r="A326" s="13" t="n"/>
      <c r="B326" s="14" t="n"/>
      <c r="C326" s="13" t="n"/>
      <c r="D326" s="13" t="n"/>
      <c r="E326" s="13" t="n"/>
      <c r="F326" s="15" t="n"/>
      <c r="G326" s="19" t="n"/>
      <c r="H326" s="17">
        <f>IF(OR(F326="",G326=""),"",ROUND(F326*9.80665*TAN(RADIANS(G326)),3))</f>
        <v/>
      </c>
      <c r="I326" s="18">
        <f>IF(G326="","",IF(G326&lt;45,"適合","要確認"))</f>
        <v/>
      </c>
      <c r="J326" s="13" t="n"/>
      <c r="K326" s="13" t="n"/>
    </row>
    <row r="327">
      <c r="A327" s="13" t="n"/>
      <c r="B327" s="14" t="n"/>
      <c r="C327" s="13" t="n"/>
      <c r="D327" s="13" t="n"/>
      <c r="E327" s="13" t="n"/>
      <c r="F327" s="15" t="n"/>
      <c r="G327" s="19" t="n"/>
      <c r="H327" s="17">
        <f>IF(OR(F327="",G327=""),"",ROUND(F327*9.80665*TAN(RADIANS(G327)),3))</f>
        <v/>
      </c>
      <c r="I327" s="18">
        <f>IF(G327="","",IF(G327&lt;45,"適合","要確認"))</f>
        <v/>
      </c>
      <c r="J327" s="13" t="n"/>
      <c r="K327" s="13" t="n"/>
    </row>
    <row r="328">
      <c r="A328" s="13" t="n"/>
      <c r="B328" s="14" t="n"/>
      <c r="C328" s="13" t="n"/>
      <c r="D328" s="13" t="n"/>
      <c r="E328" s="13" t="n"/>
      <c r="F328" s="15" t="n"/>
      <c r="G328" s="19" t="n"/>
      <c r="H328" s="17">
        <f>IF(OR(F328="",G328=""),"",ROUND(F328*9.80665*TAN(RADIANS(G328)),3))</f>
        <v/>
      </c>
      <c r="I328" s="18">
        <f>IF(G328="","",IF(G328&lt;45,"適合","要確認"))</f>
        <v/>
      </c>
      <c r="J328" s="13" t="n"/>
      <c r="K328" s="13" t="n"/>
    </row>
    <row r="329">
      <c r="A329" s="13" t="n"/>
      <c r="B329" s="14" t="n"/>
      <c r="C329" s="13" t="n"/>
      <c r="D329" s="13" t="n"/>
      <c r="E329" s="13" t="n"/>
      <c r="F329" s="15" t="n"/>
      <c r="G329" s="19" t="n"/>
      <c r="H329" s="17">
        <f>IF(OR(F329="",G329=""),"",ROUND(F329*9.80665*TAN(RADIANS(G329)),3))</f>
        <v/>
      </c>
      <c r="I329" s="18">
        <f>IF(G329="","",IF(G329&lt;45,"適合","要確認"))</f>
        <v/>
      </c>
      <c r="J329" s="13" t="n"/>
      <c r="K329" s="13" t="n"/>
    </row>
    <row r="330">
      <c r="A330" s="13" t="n"/>
      <c r="B330" s="14" t="n"/>
      <c r="C330" s="13" t="n"/>
      <c r="D330" s="13" t="n"/>
      <c r="E330" s="13" t="n"/>
      <c r="F330" s="15" t="n"/>
      <c r="G330" s="19" t="n"/>
      <c r="H330" s="17">
        <f>IF(OR(F330="",G330=""),"",ROUND(F330*9.80665*TAN(RADIANS(G330)),3))</f>
        <v/>
      </c>
      <c r="I330" s="18">
        <f>IF(G330="","",IF(G330&lt;45,"適合","要確認"))</f>
        <v/>
      </c>
      <c r="J330" s="13" t="n"/>
      <c r="K330" s="13" t="n"/>
    </row>
    <row r="331">
      <c r="A331" s="13" t="n"/>
      <c r="B331" s="14" t="n"/>
      <c r="C331" s="13" t="n"/>
      <c r="D331" s="13" t="n"/>
      <c r="E331" s="13" t="n"/>
      <c r="F331" s="15" t="n"/>
      <c r="G331" s="19" t="n"/>
      <c r="H331" s="17">
        <f>IF(OR(F331="",G331=""),"",ROUND(F331*9.80665*TAN(RADIANS(G331)),3))</f>
        <v/>
      </c>
      <c r="I331" s="18">
        <f>IF(G331="","",IF(G331&lt;45,"適合","要確認"))</f>
        <v/>
      </c>
      <c r="J331" s="13" t="n"/>
      <c r="K331" s="13" t="n"/>
    </row>
    <row r="332">
      <c r="A332" s="13" t="n"/>
      <c r="B332" s="14" t="n"/>
      <c r="C332" s="13" t="n"/>
      <c r="D332" s="13" t="n"/>
      <c r="E332" s="13" t="n"/>
      <c r="F332" s="15" t="n"/>
      <c r="G332" s="19" t="n"/>
      <c r="H332" s="17">
        <f>IF(OR(F332="",G332=""),"",ROUND(F332*9.80665*TAN(RADIANS(G332)),3))</f>
        <v/>
      </c>
      <c r="I332" s="18">
        <f>IF(G332="","",IF(G332&lt;45,"適合","要確認"))</f>
        <v/>
      </c>
      <c r="J332" s="13" t="n"/>
      <c r="K332" s="13" t="n"/>
    </row>
    <row r="333">
      <c r="A333" s="13" t="n"/>
      <c r="B333" s="14" t="n"/>
      <c r="C333" s="13" t="n"/>
      <c r="D333" s="13" t="n"/>
      <c r="E333" s="13" t="n"/>
      <c r="F333" s="15" t="n"/>
      <c r="G333" s="19" t="n"/>
      <c r="H333" s="17">
        <f>IF(OR(F333="",G333=""),"",ROUND(F333*9.80665*TAN(RADIANS(G333)),3))</f>
        <v/>
      </c>
      <c r="I333" s="18">
        <f>IF(G333="","",IF(G333&lt;45,"適合","要確認"))</f>
        <v/>
      </c>
      <c r="J333" s="13" t="n"/>
      <c r="K333" s="13" t="n"/>
    </row>
    <row r="334">
      <c r="A334" s="13" t="n"/>
      <c r="B334" s="14" t="n"/>
      <c r="C334" s="13" t="n"/>
      <c r="D334" s="13" t="n"/>
      <c r="E334" s="13" t="n"/>
      <c r="F334" s="15" t="n"/>
      <c r="G334" s="19" t="n"/>
      <c r="H334" s="17">
        <f>IF(OR(F334="",G334=""),"",ROUND(F334*9.80665*TAN(RADIANS(G334)),3))</f>
        <v/>
      </c>
      <c r="I334" s="18">
        <f>IF(G334="","",IF(G334&lt;45,"適合","要確認"))</f>
        <v/>
      </c>
      <c r="J334" s="13" t="n"/>
      <c r="K334" s="13" t="n"/>
    </row>
    <row r="335">
      <c r="A335" s="13" t="n"/>
      <c r="B335" s="14" t="n"/>
      <c r="C335" s="13" t="n"/>
      <c r="D335" s="13" t="n"/>
      <c r="E335" s="13" t="n"/>
      <c r="F335" s="15" t="n"/>
      <c r="G335" s="19" t="n"/>
      <c r="H335" s="17">
        <f>IF(OR(F335="",G335=""),"",ROUND(F335*9.80665*TAN(RADIANS(G335)),3))</f>
        <v/>
      </c>
      <c r="I335" s="18">
        <f>IF(G335="","",IF(G335&lt;45,"適合","要確認"))</f>
        <v/>
      </c>
      <c r="J335" s="13" t="n"/>
      <c r="K335" s="13" t="n"/>
    </row>
    <row r="336">
      <c r="A336" s="13" t="n"/>
      <c r="B336" s="14" t="n"/>
      <c r="C336" s="13" t="n"/>
      <c r="D336" s="13" t="n"/>
      <c r="E336" s="13" t="n"/>
      <c r="F336" s="15" t="n"/>
      <c r="G336" s="19" t="n"/>
      <c r="H336" s="17">
        <f>IF(OR(F336="",G336=""),"",ROUND(F336*9.80665*TAN(RADIANS(G336)),3))</f>
        <v/>
      </c>
      <c r="I336" s="18">
        <f>IF(G336="","",IF(G336&lt;45,"適合","要確認"))</f>
        <v/>
      </c>
      <c r="J336" s="13" t="n"/>
      <c r="K336" s="13" t="n"/>
    </row>
    <row r="337">
      <c r="A337" s="13" t="n"/>
      <c r="B337" s="14" t="n"/>
      <c r="C337" s="13" t="n"/>
      <c r="D337" s="13" t="n"/>
      <c r="E337" s="13" t="n"/>
      <c r="F337" s="15" t="n"/>
      <c r="G337" s="19" t="n"/>
      <c r="H337" s="17">
        <f>IF(OR(F337="",G337=""),"",ROUND(F337*9.80665*TAN(RADIANS(G337)),3))</f>
        <v/>
      </c>
      <c r="I337" s="18">
        <f>IF(G337="","",IF(G337&lt;45,"適合","要確認"))</f>
        <v/>
      </c>
      <c r="J337" s="13" t="n"/>
      <c r="K337" s="13" t="n"/>
    </row>
    <row r="338">
      <c r="A338" s="13" t="n"/>
      <c r="B338" s="14" t="n"/>
      <c r="C338" s="13" t="n"/>
      <c r="D338" s="13" t="n"/>
      <c r="E338" s="13" t="n"/>
      <c r="F338" s="15" t="n"/>
      <c r="G338" s="19" t="n"/>
      <c r="H338" s="17">
        <f>IF(OR(F338="",G338=""),"",ROUND(F338*9.80665*TAN(RADIANS(G338)),3))</f>
        <v/>
      </c>
      <c r="I338" s="18">
        <f>IF(G338="","",IF(G338&lt;45,"適合","要確認"))</f>
        <v/>
      </c>
      <c r="J338" s="13" t="n"/>
      <c r="K338" s="13" t="n"/>
    </row>
    <row r="339">
      <c r="A339" s="13" t="n"/>
      <c r="B339" s="14" t="n"/>
      <c r="C339" s="13" t="n"/>
      <c r="D339" s="13" t="n"/>
      <c r="E339" s="13" t="n"/>
      <c r="F339" s="15" t="n"/>
      <c r="G339" s="19" t="n"/>
      <c r="H339" s="17">
        <f>IF(OR(F339="",G339=""),"",ROUND(F339*9.80665*TAN(RADIANS(G339)),3))</f>
        <v/>
      </c>
      <c r="I339" s="18">
        <f>IF(G339="","",IF(G339&lt;45,"適合","要確認"))</f>
        <v/>
      </c>
      <c r="J339" s="13" t="n"/>
      <c r="K339" s="13" t="n"/>
    </row>
    <row r="340">
      <c r="A340" s="13" t="n"/>
      <c r="B340" s="14" t="n"/>
      <c r="C340" s="13" t="n"/>
      <c r="D340" s="13" t="n"/>
      <c r="E340" s="13" t="n"/>
      <c r="F340" s="15" t="n"/>
      <c r="G340" s="19" t="n"/>
      <c r="H340" s="17">
        <f>IF(OR(F340="",G340=""),"",ROUND(F340*9.80665*TAN(RADIANS(G340)),3))</f>
        <v/>
      </c>
      <c r="I340" s="18">
        <f>IF(G340="","",IF(G340&lt;45,"適合","要確認"))</f>
        <v/>
      </c>
      <c r="J340" s="13" t="n"/>
      <c r="K340" s="13" t="n"/>
    </row>
    <row r="341">
      <c r="A341" s="13" t="n"/>
      <c r="B341" s="14" t="n"/>
      <c r="C341" s="13" t="n"/>
      <c r="D341" s="13" t="n"/>
      <c r="E341" s="13" t="n"/>
      <c r="F341" s="15" t="n"/>
      <c r="G341" s="19" t="n"/>
      <c r="H341" s="17">
        <f>IF(OR(F341="",G341=""),"",ROUND(F341*9.80665*TAN(RADIANS(G341)),3))</f>
        <v/>
      </c>
      <c r="I341" s="18">
        <f>IF(G341="","",IF(G341&lt;45,"適合","要確認"))</f>
        <v/>
      </c>
      <c r="J341" s="13" t="n"/>
      <c r="K341" s="13" t="n"/>
    </row>
    <row r="342">
      <c r="A342" s="13" t="n"/>
      <c r="B342" s="14" t="n"/>
      <c r="C342" s="13" t="n"/>
      <c r="D342" s="13" t="n"/>
      <c r="E342" s="13" t="n"/>
      <c r="F342" s="15" t="n"/>
      <c r="G342" s="19" t="n"/>
      <c r="H342" s="17">
        <f>IF(OR(F342="",G342=""),"",ROUND(F342*9.80665*TAN(RADIANS(G342)),3))</f>
        <v/>
      </c>
      <c r="I342" s="18">
        <f>IF(G342="","",IF(G342&lt;45,"適合","要確認"))</f>
        <v/>
      </c>
      <c r="J342" s="13" t="n"/>
      <c r="K342" s="13" t="n"/>
    </row>
    <row r="343">
      <c r="A343" s="13" t="n"/>
      <c r="B343" s="14" t="n"/>
      <c r="C343" s="13" t="n"/>
      <c r="D343" s="13" t="n"/>
      <c r="E343" s="13" t="n"/>
      <c r="F343" s="15" t="n"/>
      <c r="G343" s="19" t="n"/>
      <c r="H343" s="17">
        <f>IF(OR(F343="",G343=""),"",ROUND(F343*9.80665*TAN(RADIANS(G343)),3))</f>
        <v/>
      </c>
      <c r="I343" s="18">
        <f>IF(G343="","",IF(G343&lt;45,"適合","要確認"))</f>
        <v/>
      </c>
      <c r="J343" s="13" t="n"/>
      <c r="K343" s="13" t="n"/>
    </row>
    <row r="344">
      <c r="A344" s="13" t="n"/>
      <c r="B344" s="14" t="n"/>
      <c r="C344" s="13" t="n"/>
      <c r="D344" s="13" t="n"/>
      <c r="E344" s="13" t="n"/>
      <c r="F344" s="15" t="n"/>
      <c r="G344" s="19" t="n"/>
      <c r="H344" s="17">
        <f>IF(OR(F344="",G344=""),"",ROUND(F344*9.80665*TAN(RADIANS(G344)),3))</f>
        <v/>
      </c>
      <c r="I344" s="18">
        <f>IF(G344="","",IF(G344&lt;45,"適合","要確認"))</f>
        <v/>
      </c>
      <c r="J344" s="13" t="n"/>
      <c r="K344" s="13" t="n"/>
    </row>
    <row r="345">
      <c r="A345" s="13" t="n"/>
      <c r="B345" s="14" t="n"/>
      <c r="C345" s="13" t="n"/>
      <c r="D345" s="13" t="n"/>
      <c r="E345" s="13" t="n"/>
      <c r="F345" s="15" t="n"/>
      <c r="G345" s="19" t="n"/>
      <c r="H345" s="17">
        <f>IF(OR(F345="",G345=""),"",ROUND(F345*9.80665*TAN(RADIANS(G345)),3))</f>
        <v/>
      </c>
      <c r="I345" s="18">
        <f>IF(G345="","",IF(G345&lt;45,"適合","要確認"))</f>
        <v/>
      </c>
      <c r="J345" s="13" t="n"/>
      <c r="K345" s="13" t="n"/>
    </row>
    <row r="346">
      <c r="A346" s="13" t="n"/>
      <c r="B346" s="14" t="n"/>
      <c r="C346" s="13" t="n"/>
      <c r="D346" s="13" t="n"/>
      <c r="E346" s="13" t="n"/>
      <c r="F346" s="15" t="n"/>
      <c r="G346" s="19" t="n"/>
      <c r="H346" s="17">
        <f>IF(OR(F346="",G346=""),"",ROUND(F346*9.80665*TAN(RADIANS(G346)),3))</f>
        <v/>
      </c>
      <c r="I346" s="18">
        <f>IF(G346="","",IF(G346&lt;45,"適合","要確認"))</f>
        <v/>
      </c>
      <c r="J346" s="13" t="n"/>
      <c r="K346" s="13" t="n"/>
    </row>
    <row r="347">
      <c r="A347" s="13" t="n"/>
      <c r="B347" s="14" t="n"/>
      <c r="C347" s="13" t="n"/>
      <c r="D347" s="13" t="n"/>
      <c r="E347" s="13" t="n"/>
      <c r="F347" s="15" t="n"/>
      <c r="G347" s="19" t="n"/>
      <c r="H347" s="17">
        <f>IF(OR(F347="",G347=""),"",ROUND(F347*9.80665*TAN(RADIANS(G347)),3))</f>
        <v/>
      </c>
      <c r="I347" s="18">
        <f>IF(G347="","",IF(G347&lt;45,"適合","要確認"))</f>
        <v/>
      </c>
      <c r="J347" s="13" t="n"/>
      <c r="K347" s="13" t="n"/>
    </row>
    <row r="348">
      <c r="A348" s="13" t="n"/>
      <c r="B348" s="14" t="n"/>
      <c r="C348" s="13" t="n"/>
      <c r="D348" s="13" t="n"/>
      <c r="E348" s="13" t="n"/>
      <c r="F348" s="15" t="n"/>
      <c r="G348" s="19" t="n"/>
      <c r="H348" s="17">
        <f>IF(OR(F348="",G348=""),"",ROUND(F348*9.80665*TAN(RADIANS(G348)),3))</f>
        <v/>
      </c>
      <c r="I348" s="18">
        <f>IF(G348="","",IF(G348&lt;45,"適合","要確認"))</f>
        <v/>
      </c>
      <c r="J348" s="13" t="n"/>
      <c r="K348" s="13" t="n"/>
    </row>
    <row r="349">
      <c r="A349" s="13" t="n"/>
      <c r="B349" s="14" t="n"/>
      <c r="C349" s="13" t="n"/>
      <c r="D349" s="13" t="n"/>
      <c r="E349" s="13" t="n"/>
      <c r="F349" s="15" t="n"/>
      <c r="G349" s="19" t="n"/>
      <c r="H349" s="17">
        <f>IF(OR(F349="",G349=""),"",ROUND(F349*9.80665*TAN(RADIANS(G349)),3))</f>
        <v/>
      </c>
      <c r="I349" s="18">
        <f>IF(G349="","",IF(G349&lt;45,"適合","要確認"))</f>
        <v/>
      </c>
      <c r="J349" s="13" t="n"/>
      <c r="K349" s="13" t="n"/>
    </row>
    <row r="350">
      <c r="A350" s="13" t="n"/>
      <c r="B350" s="14" t="n"/>
      <c r="C350" s="13" t="n"/>
      <c r="D350" s="13" t="n"/>
      <c r="E350" s="13" t="n"/>
      <c r="F350" s="15" t="n"/>
      <c r="G350" s="19" t="n"/>
      <c r="H350" s="17">
        <f>IF(OR(F350="",G350=""),"",ROUND(F350*9.80665*TAN(RADIANS(G350)),3))</f>
        <v/>
      </c>
      <c r="I350" s="18">
        <f>IF(G350="","",IF(G350&lt;45,"適合","要確認"))</f>
        <v/>
      </c>
      <c r="J350" s="13" t="n"/>
      <c r="K350" s="13" t="n"/>
    </row>
    <row r="351">
      <c r="A351" s="13" t="n"/>
      <c r="B351" s="14" t="n"/>
      <c r="C351" s="13" t="n"/>
      <c r="D351" s="13" t="n"/>
      <c r="E351" s="13" t="n"/>
      <c r="F351" s="15" t="n"/>
      <c r="G351" s="19" t="n"/>
      <c r="H351" s="17">
        <f>IF(OR(F351="",G351=""),"",ROUND(F351*9.80665*TAN(RADIANS(G351)),3))</f>
        <v/>
      </c>
      <c r="I351" s="18">
        <f>IF(G351="","",IF(G351&lt;45,"適合","要確認"))</f>
        <v/>
      </c>
      <c r="J351" s="13" t="n"/>
      <c r="K351" s="13" t="n"/>
    </row>
    <row r="352">
      <c r="A352" s="13" t="n"/>
      <c r="B352" s="14" t="n"/>
      <c r="C352" s="13" t="n"/>
      <c r="D352" s="13" t="n"/>
      <c r="E352" s="13" t="n"/>
      <c r="F352" s="15" t="n"/>
      <c r="G352" s="19" t="n"/>
      <c r="H352" s="17">
        <f>IF(OR(F352="",G352=""),"",ROUND(F352*9.80665*TAN(RADIANS(G352)),3))</f>
        <v/>
      </c>
      <c r="I352" s="18">
        <f>IF(G352="","",IF(G352&lt;45,"適合","要確認"))</f>
        <v/>
      </c>
      <c r="J352" s="13" t="n"/>
      <c r="K352" s="13" t="n"/>
    </row>
    <row r="353">
      <c r="A353" s="13" t="n"/>
      <c r="B353" s="14" t="n"/>
      <c r="C353" s="13" t="n"/>
      <c r="D353" s="13" t="n"/>
      <c r="E353" s="13" t="n"/>
      <c r="F353" s="15" t="n"/>
      <c r="G353" s="19" t="n"/>
      <c r="H353" s="17">
        <f>IF(OR(F353="",G353=""),"",ROUND(F353*9.80665*TAN(RADIANS(G353)),3))</f>
        <v/>
      </c>
      <c r="I353" s="18">
        <f>IF(G353="","",IF(G353&lt;45,"適合","要確認"))</f>
        <v/>
      </c>
      <c r="J353" s="13" t="n"/>
      <c r="K353" s="13" t="n"/>
    </row>
    <row r="354">
      <c r="A354" s="13" t="n"/>
      <c r="B354" s="14" t="n"/>
      <c r="C354" s="13" t="n"/>
      <c r="D354" s="13" t="n"/>
      <c r="E354" s="13" t="n"/>
      <c r="F354" s="15" t="n"/>
      <c r="G354" s="19" t="n"/>
      <c r="H354" s="17">
        <f>IF(OR(F354="",G354=""),"",ROUND(F354*9.80665*TAN(RADIANS(G354)),3))</f>
        <v/>
      </c>
      <c r="I354" s="18">
        <f>IF(G354="","",IF(G354&lt;45,"適合","要確認"))</f>
        <v/>
      </c>
      <c r="J354" s="13" t="n"/>
      <c r="K354" s="13" t="n"/>
    </row>
    <row r="355">
      <c r="A355" s="13" t="n"/>
      <c r="B355" s="14" t="n"/>
      <c r="C355" s="13" t="n"/>
      <c r="D355" s="13" t="n"/>
      <c r="E355" s="13" t="n"/>
      <c r="F355" s="15" t="n"/>
      <c r="G355" s="19" t="n"/>
      <c r="H355" s="17">
        <f>IF(OR(F355="",G355=""),"",ROUND(F355*9.80665*TAN(RADIANS(G355)),3))</f>
        <v/>
      </c>
      <c r="I355" s="18">
        <f>IF(G355="","",IF(G355&lt;45,"適合","要確認"))</f>
        <v/>
      </c>
      <c r="J355" s="13" t="n"/>
      <c r="K355" s="13" t="n"/>
    </row>
    <row r="356">
      <c r="A356" s="13" t="n"/>
      <c r="B356" s="14" t="n"/>
      <c r="C356" s="13" t="n"/>
      <c r="D356" s="13" t="n"/>
      <c r="E356" s="13" t="n"/>
      <c r="F356" s="15" t="n"/>
      <c r="G356" s="19" t="n"/>
      <c r="H356" s="17">
        <f>IF(OR(F356="",G356=""),"",ROUND(F356*9.80665*TAN(RADIANS(G356)),3))</f>
        <v/>
      </c>
      <c r="I356" s="18">
        <f>IF(G356="","",IF(G356&lt;45,"適合","要確認"))</f>
        <v/>
      </c>
      <c r="J356" s="13" t="n"/>
      <c r="K356" s="13" t="n"/>
    </row>
    <row r="357">
      <c r="A357" s="13" t="n"/>
      <c r="B357" s="14" t="n"/>
      <c r="C357" s="13" t="n"/>
      <c r="D357" s="13" t="n"/>
      <c r="E357" s="13" t="n"/>
      <c r="F357" s="15" t="n"/>
      <c r="G357" s="19" t="n"/>
      <c r="H357" s="17">
        <f>IF(OR(F357="",G357=""),"",ROUND(F357*9.80665*TAN(RADIANS(G357)),3))</f>
        <v/>
      </c>
      <c r="I357" s="18">
        <f>IF(G357="","",IF(G357&lt;45,"適合","要確認"))</f>
        <v/>
      </c>
      <c r="J357" s="13" t="n"/>
      <c r="K357" s="13" t="n"/>
    </row>
    <row r="358">
      <c r="A358" s="13" t="n"/>
      <c r="B358" s="14" t="n"/>
      <c r="C358" s="13" t="n"/>
      <c r="D358" s="13" t="n"/>
      <c r="E358" s="13" t="n"/>
      <c r="F358" s="15" t="n"/>
      <c r="G358" s="19" t="n"/>
      <c r="H358" s="17">
        <f>IF(OR(F358="",G358=""),"",ROUND(F358*9.80665*TAN(RADIANS(G358)),3))</f>
        <v/>
      </c>
      <c r="I358" s="18">
        <f>IF(G358="","",IF(G358&lt;45,"適合","要確認"))</f>
        <v/>
      </c>
      <c r="J358" s="13" t="n"/>
      <c r="K358" s="13" t="n"/>
    </row>
    <row r="359">
      <c r="A359" s="13" t="n"/>
      <c r="B359" s="14" t="n"/>
      <c r="C359" s="13" t="n"/>
      <c r="D359" s="13" t="n"/>
      <c r="E359" s="13" t="n"/>
      <c r="F359" s="15" t="n"/>
      <c r="G359" s="19" t="n"/>
      <c r="H359" s="17">
        <f>IF(OR(F359="",G359=""),"",ROUND(F359*9.80665*TAN(RADIANS(G359)),3))</f>
        <v/>
      </c>
      <c r="I359" s="18">
        <f>IF(G359="","",IF(G359&lt;45,"適合","要確認"))</f>
        <v/>
      </c>
      <c r="J359" s="13" t="n"/>
      <c r="K359" s="13" t="n"/>
    </row>
    <row r="360">
      <c r="A360" s="13" t="n"/>
      <c r="B360" s="14" t="n"/>
      <c r="C360" s="13" t="n"/>
      <c r="D360" s="13" t="n"/>
      <c r="E360" s="13" t="n"/>
      <c r="F360" s="15" t="n"/>
      <c r="G360" s="19" t="n"/>
      <c r="H360" s="17">
        <f>IF(OR(F360="",G360=""),"",ROUND(F360*9.80665*TAN(RADIANS(G360)),3))</f>
        <v/>
      </c>
      <c r="I360" s="18">
        <f>IF(G360="","",IF(G360&lt;45,"適合","要確認"))</f>
        <v/>
      </c>
      <c r="J360" s="13" t="n"/>
      <c r="K360" s="13" t="n"/>
    </row>
    <row r="361">
      <c r="A361" s="13" t="n"/>
      <c r="B361" s="14" t="n"/>
      <c r="C361" s="13" t="n"/>
      <c r="D361" s="13" t="n"/>
      <c r="E361" s="13" t="n"/>
      <c r="F361" s="15" t="n"/>
      <c r="G361" s="19" t="n"/>
      <c r="H361" s="17">
        <f>IF(OR(F361="",G361=""),"",ROUND(F361*9.80665*TAN(RADIANS(G361)),3))</f>
        <v/>
      </c>
      <c r="I361" s="18">
        <f>IF(G361="","",IF(G361&lt;45,"適合","要確認"))</f>
        <v/>
      </c>
      <c r="J361" s="13" t="n"/>
      <c r="K361" s="13" t="n"/>
    </row>
    <row r="362">
      <c r="A362" s="13" t="n"/>
      <c r="B362" s="14" t="n"/>
      <c r="C362" s="13" t="n"/>
      <c r="D362" s="13" t="n"/>
      <c r="E362" s="13" t="n"/>
      <c r="F362" s="15" t="n"/>
      <c r="G362" s="19" t="n"/>
      <c r="H362" s="17">
        <f>IF(OR(F362="",G362=""),"",ROUND(F362*9.80665*TAN(RADIANS(G362)),3))</f>
        <v/>
      </c>
      <c r="I362" s="18">
        <f>IF(G362="","",IF(G362&lt;45,"適合","要確認"))</f>
        <v/>
      </c>
      <c r="J362" s="13" t="n"/>
      <c r="K362" s="13" t="n"/>
    </row>
    <row r="363">
      <c r="A363" s="13" t="n"/>
      <c r="B363" s="14" t="n"/>
      <c r="C363" s="13" t="n"/>
      <c r="D363" s="13" t="n"/>
      <c r="E363" s="13" t="n"/>
      <c r="F363" s="15" t="n"/>
      <c r="G363" s="19" t="n"/>
      <c r="H363" s="17">
        <f>IF(OR(F363="",G363=""),"",ROUND(F363*9.80665*TAN(RADIANS(G363)),3))</f>
        <v/>
      </c>
      <c r="I363" s="18">
        <f>IF(G363="","",IF(G363&lt;45,"適合","要確認"))</f>
        <v/>
      </c>
      <c r="J363" s="13" t="n"/>
      <c r="K363" s="13" t="n"/>
    </row>
    <row r="364">
      <c r="A364" s="13" t="n"/>
      <c r="B364" s="14" t="n"/>
      <c r="C364" s="13" t="n"/>
      <c r="D364" s="13" t="n"/>
      <c r="E364" s="13" t="n"/>
      <c r="F364" s="15" t="n"/>
      <c r="G364" s="19" t="n"/>
      <c r="H364" s="17">
        <f>IF(OR(F364="",G364=""),"",ROUND(F364*9.80665*TAN(RADIANS(G364)),3))</f>
        <v/>
      </c>
      <c r="I364" s="18">
        <f>IF(G364="","",IF(G364&lt;45,"適合","要確認"))</f>
        <v/>
      </c>
      <c r="J364" s="13" t="n"/>
      <c r="K364" s="13" t="n"/>
    </row>
    <row r="365">
      <c r="A365" s="13" t="n"/>
      <c r="B365" s="14" t="n"/>
      <c r="C365" s="13" t="n"/>
      <c r="D365" s="13" t="n"/>
      <c r="E365" s="13" t="n"/>
      <c r="F365" s="15" t="n"/>
      <c r="G365" s="19" t="n"/>
      <c r="H365" s="17">
        <f>IF(OR(F365="",G365=""),"",ROUND(F365*9.80665*TAN(RADIANS(G365)),3))</f>
        <v/>
      </c>
      <c r="I365" s="18">
        <f>IF(G365="","",IF(G365&lt;45,"適合","要確認"))</f>
        <v/>
      </c>
      <c r="J365" s="13" t="n"/>
      <c r="K365" s="13" t="n"/>
    </row>
    <row r="366">
      <c r="A366" s="13" t="n"/>
      <c r="B366" s="14" t="n"/>
      <c r="C366" s="13" t="n"/>
      <c r="D366" s="13" t="n"/>
      <c r="E366" s="13" t="n"/>
      <c r="F366" s="15" t="n"/>
      <c r="G366" s="19" t="n"/>
      <c r="H366" s="17">
        <f>IF(OR(F366="",G366=""),"",ROUND(F366*9.80665*TAN(RADIANS(G366)),3))</f>
        <v/>
      </c>
      <c r="I366" s="18">
        <f>IF(G366="","",IF(G366&lt;45,"適合","要確認"))</f>
        <v/>
      </c>
      <c r="J366" s="13" t="n"/>
      <c r="K366" s="13" t="n"/>
    </row>
    <row r="367">
      <c r="A367" s="13" t="n"/>
      <c r="B367" s="14" t="n"/>
      <c r="C367" s="13" t="n"/>
      <c r="D367" s="13" t="n"/>
      <c r="E367" s="13" t="n"/>
      <c r="F367" s="15" t="n"/>
      <c r="G367" s="19" t="n"/>
      <c r="H367" s="17">
        <f>IF(OR(F367="",G367=""),"",ROUND(F367*9.80665*TAN(RADIANS(G367)),3))</f>
        <v/>
      </c>
      <c r="I367" s="18">
        <f>IF(G367="","",IF(G367&lt;45,"適合","要確認"))</f>
        <v/>
      </c>
      <c r="J367" s="13" t="n"/>
      <c r="K367" s="13" t="n"/>
    </row>
    <row r="368">
      <c r="A368" s="13" t="n"/>
      <c r="B368" s="14" t="n"/>
      <c r="C368" s="13" t="n"/>
      <c r="D368" s="13" t="n"/>
      <c r="E368" s="13" t="n"/>
      <c r="F368" s="15" t="n"/>
      <c r="G368" s="19" t="n"/>
      <c r="H368" s="17">
        <f>IF(OR(F368="",G368=""),"",ROUND(F368*9.80665*TAN(RADIANS(G368)),3))</f>
        <v/>
      </c>
      <c r="I368" s="18">
        <f>IF(G368="","",IF(G368&lt;45,"適合","要確認"))</f>
        <v/>
      </c>
      <c r="J368" s="13" t="n"/>
      <c r="K368" s="13" t="n"/>
    </row>
    <row r="369">
      <c r="A369" s="13" t="n"/>
      <c r="B369" s="14" t="n"/>
      <c r="C369" s="13" t="n"/>
      <c r="D369" s="13" t="n"/>
      <c r="E369" s="13" t="n"/>
      <c r="F369" s="15" t="n"/>
      <c r="G369" s="19" t="n"/>
      <c r="H369" s="17">
        <f>IF(OR(F369="",G369=""),"",ROUND(F369*9.80665*TAN(RADIANS(G369)),3))</f>
        <v/>
      </c>
      <c r="I369" s="18">
        <f>IF(G369="","",IF(G369&lt;45,"適合","要確認"))</f>
        <v/>
      </c>
      <c r="J369" s="13" t="n"/>
      <c r="K369" s="13" t="n"/>
    </row>
    <row r="370">
      <c r="A370" s="13" t="n"/>
      <c r="B370" s="14" t="n"/>
      <c r="C370" s="13" t="n"/>
      <c r="D370" s="13" t="n"/>
      <c r="E370" s="13" t="n"/>
      <c r="F370" s="15" t="n"/>
      <c r="G370" s="19" t="n"/>
      <c r="H370" s="17">
        <f>IF(OR(F370="",G370=""),"",ROUND(F370*9.80665*TAN(RADIANS(G370)),3))</f>
        <v/>
      </c>
      <c r="I370" s="18">
        <f>IF(G370="","",IF(G370&lt;45,"適合","要確認"))</f>
        <v/>
      </c>
      <c r="J370" s="13" t="n"/>
      <c r="K370" s="13" t="n"/>
    </row>
    <row r="371">
      <c r="A371" s="13" t="n"/>
      <c r="B371" s="14" t="n"/>
      <c r="C371" s="13" t="n"/>
      <c r="D371" s="13" t="n"/>
      <c r="E371" s="13" t="n"/>
      <c r="F371" s="15" t="n"/>
      <c r="G371" s="19" t="n"/>
      <c r="H371" s="17">
        <f>IF(OR(F371="",G371=""),"",ROUND(F371*9.80665*TAN(RADIANS(G371)),3))</f>
        <v/>
      </c>
      <c r="I371" s="18">
        <f>IF(G371="","",IF(G371&lt;45,"適合","要確認"))</f>
        <v/>
      </c>
      <c r="J371" s="13" t="n"/>
      <c r="K371" s="13" t="n"/>
    </row>
    <row r="372">
      <c r="A372" s="13" t="n"/>
      <c r="B372" s="14" t="n"/>
      <c r="C372" s="13" t="n"/>
      <c r="D372" s="13" t="n"/>
      <c r="E372" s="13" t="n"/>
      <c r="F372" s="15" t="n"/>
      <c r="G372" s="19" t="n"/>
      <c r="H372" s="17">
        <f>IF(OR(F372="",G372=""),"",ROUND(F372*9.80665*TAN(RADIANS(G372)),3))</f>
        <v/>
      </c>
      <c r="I372" s="18">
        <f>IF(G372="","",IF(G372&lt;45,"適合","要確認"))</f>
        <v/>
      </c>
      <c r="J372" s="13" t="n"/>
      <c r="K372" s="13" t="n"/>
    </row>
    <row r="373">
      <c r="A373" s="13" t="n"/>
      <c r="B373" s="14" t="n"/>
      <c r="C373" s="13" t="n"/>
      <c r="D373" s="13" t="n"/>
      <c r="E373" s="13" t="n"/>
      <c r="F373" s="15" t="n"/>
      <c r="G373" s="19" t="n"/>
      <c r="H373" s="17">
        <f>IF(OR(F373="",G373=""),"",ROUND(F373*9.80665*TAN(RADIANS(G373)),3))</f>
        <v/>
      </c>
      <c r="I373" s="18">
        <f>IF(G373="","",IF(G373&lt;45,"適合","要確認"))</f>
        <v/>
      </c>
      <c r="J373" s="13" t="n"/>
      <c r="K373" s="13" t="n"/>
    </row>
    <row r="374">
      <c r="A374" s="13" t="n"/>
      <c r="B374" s="14" t="n"/>
      <c r="C374" s="13" t="n"/>
      <c r="D374" s="13" t="n"/>
      <c r="E374" s="13" t="n"/>
      <c r="F374" s="15" t="n"/>
      <c r="G374" s="19" t="n"/>
      <c r="H374" s="17">
        <f>IF(OR(F374="",G374=""),"",ROUND(F374*9.80665*TAN(RADIANS(G374)),3))</f>
        <v/>
      </c>
      <c r="I374" s="18">
        <f>IF(G374="","",IF(G374&lt;45,"適合","要確認"))</f>
        <v/>
      </c>
      <c r="J374" s="13" t="n"/>
      <c r="K374" s="13" t="n"/>
    </row>
    <row r="375">
      <c r="A375" s="13" t="n"/>
      <c r="B375" s="14" t="n"/>
      <c r="C375" s="13" t="n"/>
      <c r="D375" s="13" t="n"/>
      <c r="E375" s="13" t="n"/>
      <c r="F375" s="15" t="n"/>
      <c r="G375" s="19" t="n"/>
      <c r="H375" s="17">
        <f>IF(OR(F375="",G375=""),"",ROUND(F375*9.80665*TAN(RADIANS(G375)),3))</f>
        <v/>
      </c>
      <c r="I375" s="18">
        <f>IF(G375="","",IF(G375&lt;45,"適合","要確認"))</f>
        <v/>
      </c>
      <c r="J375" s="13" t="n"/>
      <c r="K375" s="13" t="n"/>
    </row>
    <row r="376">
      <c r="A376" s="13" t="n"/>
      <c r="B376" s="14" t="n"/>
      <c r="C376" s="13" t="n"/>
      <c r="D376" s="13" t="n"/>
      <c r="E376" s="13" t="n"/>
      <c r="F376" s="15" t="n"/>
      <c r="G376" s="19" t="n"/>
      <c r="H376" s="17">
        <f>IF(OR(F376="",G376=""),"",ROUND(F376*9.80665*TAN(RADIANS(G376)),3))</f>
        <v/>
      </c>
      <c r="I376" s="18">
        <f>IF(G376="","",IF(G376&lt;45,"適合","要確認"))</f>
        <v/>
      </c>
      <c r="J376" s="13" t="n"/>
      <c r="K376" s="13" t="n"/>
    </row>
    <row r="377">
      <c r="A377" s="13" t="n"/>
      <c r="B377" s="14" t="n"/>
      <c r="C377" s="13" t="n"/>
      <c r="D377" s="13" t="n"/>
      <c r="E377" s="13" t="n"/>
      <c r="F377" s="15" t="n"/>
      <c r="G377" s="19" t="n"/>
      <c r="H377" s="17">
        <f>IF(OR(F377="",G377=""),"",ROUND(F377*9.80665*TAN(RADIANS(G377)),3))</f>
        <v/>
      </c>
      <c r="I377" s="18">
        <f>IF(G377="","",IF(G377&lt;45,"適合","要確認"))</f>
        <v/>
      </c>
      <c r="J377" s="13" t="n"/>
      <c r="K377" s="13" t="n"/>
    </row>
    <row r="378">
      <c r="A378" s="13" t="n"/>
      <c r="B378" s="14" t="n"/>
      <c r="C378" s="13" t="n"/>
      <c r="D378" s="13" t="n"/>
      <c r="E378" s="13" t="n"/>
      <c r="F378" s="15" t="n"/>
      <c r="G378" s="19" t="n"/>
      <c r="H378" s="17">
        <f>IF(OR(F378="",G378=""),"",ROUND(F378*9.80665*TAN(RADIANS(G378)),3))</f>
        <v/>
      </c>
      <c r="I378" s="18">
        <f>IF(G378="","",IF(G378&lt;45,"適合","要確認"))</f>
        <v/>
      </c>
      <c r="J378" s="13" t="n"/>
      <c r="K378" s="13" t="n"/>
    </row>
    <row r="379">
      <c r="A379" s="13" t="n"/>
      <c r="B379" s="14" t="n"/>
      <c r="C379" s="13" t="n"/>
      <c r="D379" s="13" t="n"/>
      <c r="E379" s="13" t="n"/>
      <c r="F379" s="15" t="n"/>
      <c r="G379" s="19" t="n"/>
      <c r="H379" s="17">
        <f>IF(OR(F379="",G379=""),"",ROUND(F379*9.80665*TAN(RADIANS(G379)),3))</f>
        <v/>
      </c>
      <c r="I379" s="18">
        <f>IF(G379="","",IF(G379&lt;45,"適合","要確認"))</f>
        <v/>
      </c>
      <c r="J379" s="13" t="n"/>
      <c r="K379" s="13" t="n"/>
    </row>
    <row r="380">
      <c r="A380" s="13" t="n"/>
      <c r="B380" s="14" t="n"/>
      <c r="C380" s="13" t="n"/>
      <c r="D380" s="13" t="n"/>
      <c r="E380" s="13" t="n"/>
      <c r="F380" s="15" t="n"/>
      <c r="G380" s="19" t="n"/>
      <c r="H380" s="17">
        <f>IF(OR(F380="",G380=""),"",ROUND(F380*9.80665*TAN(RADIANS(G380)),3))</f>
        <v/>
      </c>
      <c r="I380" s="18">
        <f>IF(G380="","",IF(G380&lt;45,"適合","要確認"))</f>
        <v/>
      </c>
      <c r="J380" s="13" t="n"/>
      <c r="K380" s="13" t="n"/>
    </row>
    <row r="381">
      <c r="A381" s="13" t="n"/>
      <c r="B381" s="14" t="n"/>
      <c r="C381" s="13" t="n"/>
      <c r="D381" s="13" t="n"/>
      <c r="E381" s="13" t="n"/>
      <c r="F381" s="15" t="n"/>
      <c r="G381" s="19" t="n"/>
      <c r="H381" s="17">
        <f>IF(OR(F381="",G381=""),"",ROUND(F381*9.80665*TAN(RADIANS(G381)),3))</f>
        <v/>
      </c>
      <c r="I381" s="18">
        <f>IF(G381="","",IF(G381&lt;45,"適合","要確認"))</f>
        <v/>
      </c>
      <c r="J381" s="13" t="n"/>
      <c r="K381" s="13" t="n"/>
    </row>
    <row r="382">
      <c r="A382" s="13" t="n"/>
      <c r="B382" s="14" t="n"/>
      <c r="C382" s="13" t="n"/>
      <c r="D382" s="13" t="n"/>
      <c r="E382" s="13" t="n"/>
      <c r="F382" s="15" t="n"/>
      <c r="G382" s="19" t="n"/>
      <c r="H382" s="17">
        <f>IF(OR(F382="",G382=""),"",ROUND(F382*9.80665*TAN(RADIANS(G382)),3))</f>
        <v/>
      </c>
      <c r="I382" s="18">
        <f>IF(G382="","",IF(G382&lt;45,"適合","要確認"))</f>
        <v/>
      </c>
      <c r="J382" s="13" t="n"/>
      <c r="K382" s="13" t="n"/>
    </row>
    <row r="383">
      <c r="A383" s="13" t="n"/>
      <c r="B383" s="14" t="n"/>
      <c r="C383" s="13" t="n"/>
      <c r="D383" s="13" t="n"/>
      <c r="E383" s="13" t="n"/>
      <c r="F383" s="15" t="n"/>
      <c r="G383" s="19" t="n"/>
      <c r="H383" s="17">
        <f>IF(OR(F383="",G383=""),"",ROUND(F383*9.80665*TAN(RADIANS(G383)),3))</f>
        <v/>
      </c>
      <c r="I383" s="18">
        <f>IF(G383="","",IF(G383&lt;45,"適合","要確認"))</f>
        <v/>
      </c>
      <c r="J383" s="13" t="n"/>
      <c r="K383" s="13" t="n"/>
    </row>
    <row r="384">
      <c r="A384" s="13" t="n"/>
      <c r="B384" s="14" t="n"/>
      <c r="C384" s="13" t="n"/>
      <c r="D384" s="13" t="n"/>
      <c r="E384" s="13" t="n"/>
      <c r="F384" s="15" t="n"/>
      <c r="G384" s="19" t="n"/>
      <c r="H384" s="17">
        <f>IF(OR(F384="",G384=""),"",ROUND(F384*9.80665*TAN(RADIANS(G384)),3))</f>
        <v/>
      </c>
      <c r="I384" s="18">
        <f>IF(G384="","",IF(G384&lt;45,"適合","要確認"))</f>
        <v/>
      </c>
      <c r="J384" s="13" t="n"/>
      <c r="K384" s="13" t="n"/>
    </row>
    <row r="385">
      <c r="A385" s="13" t="n"/>
      <c r="B385" s="14" t="n"/>
      <c r="C385" s="13" t="n"/>
      <c r="D385" s="13" t="n"/>
      <c r="E385" s="13" t="n"/>
      <c r="F385" s="15" t="n"/>
      <c r="G385" s="19" t="n"/>
      <c r="H385" s="17">
        <f>IF(OR(F385="",G385=""),"",ROUND(F385*9.80665*TAN(RADIANS(G385)),3))</f>
        <v/>
      </c>
      <c r="I385" s="18">
        <f>IF(G385="","",IF(G385&lt;45,"適合","要確認"))</f>
        <v/>
      </c>
      <c r="J385" s="13" t="n"/>
      <c r="K385" s="13" t="n"/>
    </row>
    <row r="386">
      <c r="A386" s="13" t="n"/>
      <c r="B386" s="14" t="n"/>
      <c r="C386" s="13" t="n"/>
      <c r="D386" s="13" t="n"/>
      <c r="E386" s="13" t="n"/>
      <c r="F386" s="15" t="n"/>
      <c r="G386" s="19" t="n"/>
      <c r="H386" s="17">
        <f>IF(OR(F386="",G386=""),"",ROUND(F386*9.80665*TAN(RADIANS(G386)),3))</f>
        <v/>
      </c>
      <c r="I386" s="18">
        <f>IF(G386="","",IF(G386&lt;45,"適合","要確認"))</f>
        <v/>
      </c>
      <c r="J386" s="13" t="n"/>
      <c r="K386" s="13" t="n"/>
    </row>
    <row r="387">
      <c r="A387" s="13" t="n"/>
      <c r="B387" s="14" t="n"/>
      <c r="C387" s="13" t="n"/>
      <c r="D387" s="13" t="n"/>
      <c r="E387" s="13" t="n"/>
      <c r="F387" s="15" t="n"/>
      <c r="G387" s="19" t="n"/>
      <c r="H387" s="17">
        <f>IF(OR(F387="",G387=""),"",ROUND(F387*9.80665*TAN(RADIANS(G387)),3))</f>
        <v/>
      </c>
      <c r="I387" s="18">
        <f>IF(G387="","",IF(G387&lt;45,"適合","要確認"))</f>
        <v/>
      </c>
      <c r="J387" s="13" t="n"/>
      <c r="K387" s="13" t="n"/>
    </row>
    <row r="388">
      <c r="A388" s="13" t="n"/>
      <c r="B388" s="14" t="n"/>
      <c r="C388" s="13" t="n"/>
      <c r="D388" s="13" t="n"/>
      <c r="E388" s="13" t="n"/>
      <c r="F388" s="15" t="n"/>
      <c r="G388" s="19" t="n"/>
      <c r="H388" s="17">
        <f>IF(OR(F388="",G388=""),"",ROUND(F388*9.80665*TAN(RADIANS(G388)),3))</f>
        <v/>
      </c>
      <c r="I388" s="18">
        <f>IF(G388="","",IF(G388&lt;45,"適合","要確認"))</f>
        <v/>
      </c>
      <c r="J388" s="13" t="n"/>
      <c r="K388" s="13" t="n"/>
    </row>
    <row r="389">
      <c r="A389" s="13" t="n"/>
      <c r="B389" s="14" t="n"/>
      <c r="C389" s="13" t="n"/>
      <c r="D389" s="13" t="n"/>
      <c r="E389" s="13" t="n"/>
      <c r="F389" s="15" t="n"/>
      <c r="G389" s="19" t="n"/>
      <c r="H389" s="17">
        <f>IF(OR(F389="",G389=""),"",ROUND(F389*9.80665*TAN(RADIANS(G389)),3))</f>
        <v/>
      </c>
      <c r="I389" s="18">
        <f>IF(G389="","",IF(G389&lt;45,"適合","要確認"))</f>
        <v/>
      </c>
      <c r="J389" s="13" t="n"/>
      <c r="K389" s="13" t="n"/>
    </row>
    <row r="390">
      <c r="A390" s="13" t="n"/>
      <c r="B390" s="14" t="n"/>
      <c r="C390" s="13" t="n"/>
      <c r="D390" s="13" t="n"/>
      <c r="E390" s="13" t="n"/>
      <c r="F390" s="15" t="n"/>
      <c r="G390" s="19" t="n"/>
      <c r="H390" s="17">
        <f>IF(OR(F390="",G390=""),"",ROUND(F390*9.80665*TAN(RADIANS(G390)),3))</f>
        <v/>
      </c>
      <c r="I390" s="18">
        <f>IF(G390="","",IF(G390&lt;45,"適合","要確認"))</f>
        <v/>
      </c>
      <c r="J390" s="13" t="n"/>
      <c r="K390" s="13" t="n"/>
    </row>
    <row r="391">
      <c r="A391" s="13" t="n"/>
      <c r="B391" s="14" t="n"/>
      <c r="C391" s="13" t="n"/>
      <c r="D391" s="13" t="n"/>
      <c r="E391" s="13" t="n"/>
      <c r="F391" s="15" t="n"/>
      <c r="G391" s="19" t="n"/>
      <c r="H391" s="17">
        <f>IF(OR(F391="",G391=""),"",ROUND(F391*9.80665*TAN(RADIANS(G391)),3))</f>
        <v/>
      </c>
      <c r="I391" s="18">
        <f>IF(G391="","",IF(G391&lt;45,"適合","要確認"))</f>
        <v/>
      </c>
      <c r="J391" s="13" t="n"/>
      <c r="K391" s="13" t="n"/>
    </row>
    <row r="392">
      <c r="A392" s="13" t="n"/>
      <c r="B392" s="14" t="n"/>
      <c r="C392" s="13" t="n"/>
      <c r="D392" s="13" t="n"/>
      <c r="E392" s="13" t="n"/>
      <c r="F392" s="15" t="n"/>
      <c r="G392" s="19" t="n"/>
      <c r="H392" s="17">
        <f>IF(OR(F392="",G392=""),"",ROUND(F392*9.80665*TAN(RADIANS(G392)),3))</f>
        <v/>
      </c>
      <c r="I392" s="18">
        <f>IF(G392="","",IF(G392&lt;45,"適合","要確認"))</f>
        <v/>
      </c>
      <c r="J392" s="13" t="n"/>
      <c r="K392" s="13" t="n"/>
    </row>
    <row r="393">
      <c r="A393" s="13" t="n"/>
      <c r="B393" s="14" t="n"/>
      <c r="C393" s="13" t="n"/>
      <c r="D393" s="13" t="n"/>
      <c r="E393" s="13" t="n"/>
      <c r="F393" s="15" t="n"/>
      <c r="G393" s="19" t="n"/>
      <c r="H393" s="17">
        <f>IF(OR(F393="",G393=""),"",ROUND(F393*9.80665*TAN(RADIANS(G393)),3))</f>
        <v/>
      </c>
      <c r="I393" s="18">
        <f>IF(G393="","",IF(G393&lt;45,"適合","要確認"))</f>
        <v/>
      </c>
      <c r="J393" s="13" t="n"/>
      <c r="K393" s="13" t="n"/>
    </row>
    <row r="394">
      <c r="A394" s="13" t="n"/>
      <c r="B394" s="14" t="n"/>
      <c r="C394" s="13" t="n"/>
      <c r="D394" s="13" t="n"/>
      <c r="E394" s="13" t="n"/>
      <c r="F394" s="15" t="n"/>
      <c r="G394" s="19" t="n"/>
      <c r="H394" s="17">
        <f>IF(OR(F394="",G394=""),"",ROUND(F394*9.80665*TAN(RADIANS(G394)),3))</f>
        <v/>
      </c>
      <c r="I394" s="18">
        <f>IF(G394="","",IF(G394&lt;45,"適合","要確認"))</f>
        <v/>
      </c>
      <c r="J394" s="13" t="n"/>
      <c r="K394" s="13" t="n"/>
    </row>
    <row r="395">
      <c r="A395" s="13" t="n"/>
      <c r="B395" s="14" t="n"/>
      <c r="C395" s="13" t="n"/>
      <c r="D395" s="13" t="n"/>
      <c r="E395" s="13" t="n"/>
      <c r="F395" s="15" t="n"/>
      <c r="G395" s="19" t="n"/>
      <c r="H395" s="17">
        <f>IF(OR(F395="",G395=""),"",ROUND(F395*9.80665*TAN(RADIANS(G395)),3))</f>
        <v/>
      </c>
      <c r="I395" s="18">
        <f>IF(G395="","",IF(G395&lt;45,"適合","要確認"))</f>
        <v/>
      </c>
      <c r="J395" s="13" t="n"/>
      <c r="K395" s="13" t="n"/>
    </row>
    <row r="396">
      <c r="A396" s="13" t="n"/>
      <c r="B396" s="14" t="n"/>
      <c r="C396" s="13" t="n"/>
      <c r="D396" s="13" t="n"/>
      <c r="E396" s="13" t="n"/>
      <c r="F396" s="15" t="n"/>
      <c r="G396" s="19" t="n"/>
      <c r="H396" s="17">
        <f>IF(OR(F396="",G396=""),"",ROUND(F396*9.80665*TAN(RADIANS(G396)),3))</f>
        <v/>
      </c>
      <c r="I396" s="18">
        <f>IF(G396="","",IF(G396&lt;45,"適合","要確認"))</f>
        <v/>
      </c>
      <c r="J396" s="13" t="n"/>
      <c r="K396" s="13" t="n"/>
    </row>
    <row r="397">
      <c r="A397" s="13" t="n"/>
      <c r="B397" s="14" t="n"/>
      <c r="C397" s="13" t="n"/>
      <c r="D397" s="13" t="n"/>
      <c r="E397" s="13" t="n"/>
      <c r="F397" s="15" t="n"/>
      <c r="G397" s="19" t="n"/>
      <c r="H397" s="17">
        <f>IF(OR(F397="",G397=""),"",ROUND(F397*9.80665*TAN(RADIANS(G397)),3))</f>
        <v/>
      </c>
      <c r="I397" s="18">
        <f>IF(G397="","",IF(G397&lt;45,"適合","要確認"))</f>
        <v/>
      </c>
      <c r="J397" s="13" t="n"/>
      <c r="K397" s="13" t="n"/>
    </row>
    <row r="398">
      <c r="A398" s="13" t="n"/>
      <c r="B398" s="14" t="n"/>
      <c r="C398" s="13" t="n"/>
      <c r="D398" s="13" t="n"/>
      <c r="E398" s="13" t="n"/>
      <c r="F398" s="15" t="n"/>
      <c r="G398" s="19" t="n"/>
      <c r="H398" s="17">
        <f>IF(OR(F398="",G398=""),"",ROUND(F398*9.80665*TAN(RADIANS(G398)),3))</f>
        <v/>
      </c>
      <c r="I398" s="18">
        <f>IF(G398="","",IF(G398&lt;45,"適合","要確認"))</f>
        <v/>
      </c>
      <c r="J398" s="13" t="n"/>
      <c r="K398" s="13" t="n"/>
    </row>
    <row r="399">
      <c r="A399" s="13" t="n"/>
      <c r="B399" s="14" t="n"/>
      <c r="C399" s="13" t="n"/>
      <c r="D399" s="13" t="n"/>
      <c r="E399" s="13" t="n"/>
      <c r="F399" s="15" t="n"/>
      <c r="G399" s="19" t="n"/>
      <c r="H399" s="17">
        <f>IF(OR(F399="",G399=""),"",ROUND(F399*9.80665*TAN(RADIANS(G399)),3))</f>
        <v/>
      </c>
      <c r="I399" s="18">
        <f>IF(G399="","",IF(G399&lt;45,"適合","要確認"))</f>
        <v/>
      </c>
      <c r="J399" s="13" t="n"/>
      <c r="K399" s="13" t="n"/>
    </row>
    <row r="400">
      <c r="A400" s="13" t="n"/>
      <c r="B400" s="14" t="n"/>
      <c r="C400" s="13" t="n"/>
      <c r="D400" s="13" t="n"/>
      <c r="E400" s="13" t="n"/>
      <c r="F400" s="15" t="n"/>
      <c r="G400" s="19" t="n"/>
      <c r="H400" s="17">
        <f>IF(OR(F400="",G400=""),"",ROUND(F400*9.80665*TAN(RADIANS(G400)),3))</f>
        <v/>
      </c>
      <c r="I400" s="18">
        <f>IF(G400="","",IF(G400&lt;45,"適合","要確認"))</f>
        <v/>
      </c>
      <c r="J400" s="13" t="n"/>
      <c r="K400" s="13" t="n"/>
    </row>
    <row r="401">
      <c r="A401" s="13" t="n"/>
      <c r="B401" s="14" t="n"/>
      <c r="C401" s="13" t="n"/>
      <c r="D401" s="13" t="n"/>
      <c r="E401" s="13" t="n"/>
      <c r="F401" s="15" t="n"/>
      <c r="G401" s="19" t="n"/>
      <c r="H401" s="17">
        <f>IF(OR(F401="",G401=""),"",ROUND(F401*9.80665*TAN(RADIANS(G401)),3))</f>
        <v/>
      </c>
      <c r="I401" s="18">
        <f>IF(G401="","",IF(G401&lt;45,"適合","要確認"))</f>
        <v/>
      </c>
      <c r="J401" s="13" t="n"/>
      <c r="K401" s="13" t="n"/>
    </row>
    <row r="403">
      <c r="A403" s="20" t="inlineStr">
        <is>
          <t>磁気力 F (mN) = 質量m(g) × 9.80665 × tan(θ)　／　ASTM F2052 は θ &lt; 45°（磁気力が重力以下）を一般に許容可能とする</t>
        </is>
      </c>
    </row>
  </sheetData>
  <conditionalFormatting sqref="I2:I401">
    <cfRule type="cellIs" priority="1" operator="equal" dxfId="0">
      <formula>"要確認"</formula>
    </cfRule>
    <cfRule type="cellIs" priority="2" operator="equal" dxfId="1">
      <formula>"適合"</formula>
    </cfRule>
  </conditionalFormatting>
  <dataValidations count="2">
    <dataValidation sqref="C2:C401" showDropDown="0" showInputMessage="0" showErrorMessage="0" allowBlank="1" errorTitle="入力エラー" error="リストから選んでください" type="list">
      <formula1>"1.5T,3T"</formula1>
    </dataValidation>
    <dataValidation sqref="D2:D401" showDropDown="0" showInputMessage="0" showErrorMessage="0" allowBlank="1" type="list">
      <formula1>='01_試料マスタ'!$A$2:$A$121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6" customWidth="1" min="4" max="4"/>
    <col width="10" customWidth="1" min="5" max="5"/>
    <col width="8" customWidth="1" min="6" max="6"/>
    <col width="10" customWidth="1" min="7" max="7"/>
    <col width="10" customWidth="1" min="8" max="8"/>
    <col width="9" customWidth="1" min="9" max="9"/>
    <col width="6" customWidth="1" min="10" max="10"/>
    <col width="10" customWidth="1" min="11" max="11"/>
    <col width="8" customWidth="1" min="12" max="12"/>
    <col width="10" customWidth="1" min="13" max="13"/>
    <col width="10" customWidth="1" min="14" max="14"/>
    <col width="9" customWidth="1" min="15" max="15"/>
  </cols>
  <sheetData>
    <row r="1">
      <c r="A1" s="21" t="inlineStr">
        <is>
          <t>偏向角の集計（02_偏向角_記録 から自動計算。入力不要）</t>
        </is>
      </c>
    </row>
    <row r="2">
      <c r="A2" s="20" t="inlineStr">
        <is>
          <t>SDは標本標準偏差、95%CI半幅は t分布による。判定は同一試料・同一装置で 45° 以上の測定が1件でもあれば「要確認」。</t>
        </is>
      </c>
    </row>
    <row r="3">
      <c r="D3" s="22" t="inlineStr">
        <is>
          <t>1.5T</t>
        </is>
      </c>
      <c r="J3" s="22" t="inlineStr">
        <is>
          <t>3T</t>
        </is>
      </c>
    </row>
    <row r="4" ht="30" customHeight="1">
      <c r="A4" s="9" t="inlineStr">
        <is>
          <t>試料ID</t>
        </is>
      </c>
      <c r="B4" s="9" t="inlineStr">
        <is>
          <t>製品記号</t>
        </is>
      </c>
      <c r="C4" s="9" t="inlineStr">
        <is>
          <t>カテゴリ</t>
        </is>
      </c>
      <c r="D4" s="9" t="inlineStr">
        <is>
          <t>n</t>
        </is>
      </c>
      <c r="E4" s="9" t="inlineStr">
        <is>
          <t>平均θ (°)</t>
        </is>
      </c>
      <c r="F4" s="9" t="inlineStr">
        <is>
          <t>SD</t>
        </is>
      </c>
      <c r="G4" s="9" t="inlineStr">
        <is>
          <t>95%CI半幅</t>
        </is>
      </c>
      <c r="H4" s="9" t="inlineStr">
        <is>
          <t>最大θ (°)</t>
        </is>
      </c>
      <c r="I4" s="9" t="inlineStr">
        <is>
          <t>判定</t>
        </is>
      </c>
      <c r="J4" s="9" t="inlineStr">
        <is>
          <t>n</t>
        </is>
      </c>
      <c r="K4" s="9" t="inlineStr">
        <is>
          <t>平均θ (°)</t>
        </is>
      </c>
      <c r="L4" s="9" t="inlineStr">
        <is>
          <t>SD</t>
        </is>
      </c>
      <c r="M4" s="9" t="inlineStr">
        <is>
          <t>95%CI半幅</t>
        </is>
      </c>
      <c r="N4" s="9" t="inlineStr">
        <is>
          <t>最大θ (°)</t>
        </is>
      </c>
      <c r="O4" s="9" t="inlineStr">
        <is>
          <t>判定</t>
        </is>
      </c>
    </row>
    <row r="5">
      <c r="A5" s="23">
        <f>IF('01_試料マスタ'!A2="","",'01_試料マスタ'!A2)</f>
        <v/>
      </c>
      <c r="B5" s="23">
        <f>IF('01_試料マスタ'!B2="","",'01_試料マスタ'!B2)</f>
        <v/>
      </c>
      <c r="C5" s="23">
        <f>IF('01_試料マスタ'!C2="","",'01_試料マスタ'!C2)</f>
        <v/>
      </c>
      <c r="D5" s="18">
        <f>IF($A5="","",COUNTIFS('02_偏向角_記録'!$D$2:$D$401,$A5,'02_偏向角_記録'!$C$2:$C$401,"1.5T",'02_偏向角_記録'!$G$2:$G$401,"&gt;=0"))</f>
        <v/>
      </c>
      <c r="E5" s="24">
        <f>IFERROR(IF(OR($A5="",D5="",D5=0),"",ROUND(AVERAGEIFS('02_偏向角_記録'!$G$2:$G$401,'02_偏向角_記録'!$D$2:$D$401,$A5,'02_偏向角_記録'!$C$2:$C$401,"1.5T"),2)),"")</f>
        <v/>
      </c>
      <c r="F5" s="24">
        <f>IFERROR(IF(OR($A5="",D5="",D5&lt;2),"",ROUND(SQRT(SUMPRODUCT(('02_偏向角_記録'!$D$2:$D$401=$A5)*('02_偏向角_記録'!$C$2:$C$401="1.5T")*('02_偏向角_記録'!$G$2:$G$401&lt;&gt;"")*('02_偏向角_記録'!$G$2:$G$401-E5)^2)/(D5-1)),2)),"")</f>
        <v/>
      </c>
      <c r="G5" s="24">
        <f>IFERROR(IF(OR($A5="",D5="",D5&lt;2),"",ROUND(TINV(0.05,D5-1)*F5/SQRT(D5),2)),"")</f>
        <v/>
      </c>
      <c r="H5" s="24">
        <f>IFERROR(IF(OR($A5="",D5="",D5=0),"",ROUND(SUMPRODUCT(MAX(('02_偏向角_記録'!$D$2:$D$401=$A5)*('02_偏向角_記録'!$C$2:$C$401="1.5T")*'02_偏向角_記録'!$G$2:$G$401)),2)),"")</f>
        <v/>
      </c>
      <c r="I5" s="18">
        <f>IFERROR(IF(OR($A5="",D5="",D5=0),"",IF(COUNTIFS('02_偏向角_記録'!$D$2:$D$401,$A5,'02_偏向角_記録'!$C$2:$C$401,"1.5T",'02_偏向角_記録'!$G$2:$G$401,"&gt;=45")&gt;0,"要確認","適合")),"")</f>
        <v/>
      </c>
      <c r="J5" s="18">
        <f>IF($A5="","",COUNTIFS('02_偏向角_記録'!$D$2:$D$401,$A5,'02_偏向角_記録'!$C$2:$C$401,"3T",'02_偏向角_記録'!$G$2:$G$401,"&gt;=0"))</f>
        <v/>
      </c>
      <c r="K5" s="24">
        <f>IFERROR(IF(OR($A5="",J5="",J5=0),"",ROUND(AVERAGEIFS('02_偏向角_記録'!$G$2:$G$401,'02_偏向角_記録'!$D$2:$D$401,$A5,'02_偏向角_記録'!$C$2:$C$401,"3T"),2)),"")</f>
        <v/>
      </c>
      <c r="L5" s="24">
        <f>IFERROR(IF(OR($A5="",J5="",J5&lt;2),"",ROUND(SQRT(SUMPRODUCT(('02_偏向角_記録'!$D$2:$D$401=$A5)*('02_偏向角_記録'!$C$2:$C$401="3T")*('02_偏向角_記録'!$G$2:$G$401&lt;&gt;"")*('02_偏向角_記録'!$G$2:$G$401-K5)^2)/(J5-1)),2)),"")</f>
        <v/>
      </c>
      <c r="M5" s="24">
        <f>IFERROR(IF(OR($A5="",J5="",J5&lt;2),"",ROUND(TINV(0.05,J5-1)*L5/SQRT(J5),2)),"")</f>
        <v/>
      </c>
      <c r="N5" s="24">
        <f>IFERROR(IF(OR($A5="",J5="",J5=0),"",ROUND(SUMPRODUCT(MAX(('02_偏向角_記録'!$D$2:$D$401=$A5)*('02_偏向角_記録'!$C$2:$C$401="3T")*'02_偏向角_記録'!$G$2:$G$401)),2)),"")</f>
        <v/>
      </c>
      <c r="O5" s="18">
        <f>IFERROR(IF(OR($A5="",J5="",J5=0),"",IF(COUNTIFS('02_偏向角_記録'!$D$2:$D$401,$A5,'02_偏向角_記録'!$C$2:$C$401,"3T",'02_偏向角_記録'!$G$2:$G$401,"&gt;=45")&gt;0,"要確認","適合")),"")</f>
        <v/>
      </c>
    </row>
    <row r="6">
      <c r="A6" s="23">
        <f>IF('01_試料マスタ'!A3="","",'01_試料マスタ'!A3)</f>
        <v/>
      </c>
      <c r="B6" s="23">
        <f>IF('01_試料マスタ'!B3="","",'01_試料マスタ'!B3)</f>
        <v/>
      </c>
      <c r="C6" s="23">
        <f>IF('01_試料マスタ'!C3="","",'01_試料マスタ'!C3)</f>
        <v/>
      </c>
      <c r="D6" s="18">
        <f>IF($A6="","",COUNTIFS('02_偏向角_記録'!$D$2:$D$401,$A6,'02_偏向角_記録'!$C$2:$C$401,"1.5T",'02_偏向角_記録'!$G$2:$G$401,"&gt;=0"))</f>
        <v/>
      </c>
      <c r="E6" s="24">
        <f>IFERROR(IF(OR($A6="",D6="",D6=0),"",ROUND(AVERAGEIFS('02_偏向角_記録'!$G$2:$G$401,'02_偏向角_記録'!$D$2:$D$401,$A6,'02_偏向角_記録'!$C$2:$C$401,"1.5T"),2)),"")</f>
        <v/>
      </c>
      <c r="F6" s="24">
        <f>IFERROR(IF(OR($A6="",D6="",D6&lt;2),"",ROUND(SQRT(SUMPRODUCT(('02_偏向角_記録'!$D$2:$D$401=$A6)*('02_偏向角_記録'!$C$2:$C$401="1.5T")*('02_偏向角_記録'!$G$2:$G$401&lt;&gt;"")*('02_偏向角_記録'!$G$2:$G$401-E6)^2)/(D6-1)),2)),"")</f>
        <v/>
      </c>
      <c r="G6" s="24">
        <f>IFERROR(IF(OR($A6="",D6="",D6&lt;2),"",ROUND(TINV(0.05,D6-1)*F6/SQRT(D6),2)),"")</f>
        <v/>
      </c>
      <c r="H6" s="24">
        <f>IFERROR(IF(OR($A6="",D6="",D6=0),"",ROUND(SUMPRODUCT(MAX(('02_偏向角_記録'!$D$2:$D$401=$A6)*('02_偏向角_記録'!$C$2:$C$401="1.5T")*'02_偏向角_記録'!$G$2:$G$401)),2)),"")</f>
        <v/>
      </c>
      <c r="I6" s="18">
        <f>IFERROR(IF(OR($A6="",D6="",D6=0),"",IF(COUNTIFS('02_偏向角_記録'!$D$2:$D$401,$A6,'02_偏向角_記録'!$C$2:$C$401,"1.5T",'02_偏向角_記録'!$G$2:$G$401,"&gt;=45")&gt;0,"要確認","適合")),"")</f>
        <v/>
      </c>
      <c r="J6" s="18">
        <f>IF($A6="","",COUNTIFS('02_偏向角_記録'!$D$2:$D$401,$A6,'02_偏向角_記録'!$C$2:$C$401,"3T",'02_偏向角_記録'!$G$2:$G$401,"&gt;=0"))</f>
        <v/>
      </c>
      <c r="K6" s="24">
        <f>IFERROR(IF(OR($A6="",J6="",J6=0),"",ROUND(AVERAGEIFS('02_偏向角_記録'!$G$2:$G$401,'02_偏向角_記録'!$D$2:$D$401,$A6,'02_偏向角_記録'!$C$2:$C$401,"3T"),2)),"")</f>
        <v/>
      </c>
      <c r="L6" s="24">
        <f>IFERROR(IF(OR($A6="",J6="",J6&lt;2),"",ROUND(SQRT(SUMPRODUCT(('02_偏向角_記録'!$D$2:$D$401=$A6)*('02_偏向角_記録'!$C$2:$C$401="3T")*('02_偏向角_記録'!$G$2:$G$401&lt;&gt;"")*('02_偏向角_記録'!$G$2:$G$401-K6)^2)/(J6-1)),2)),"")</f>
        <v/>
      </c>
      <c r="M6" s="24">
        <f>IFERROR(IF(OR($A6="",J6="",J6&lt;2),"",ROUND(TINV(0.05,J6-1)*L6/SQRT(J6),2)),"")</f>
        <v/>
      </c>
      <c r="N6" s="24">
        <f>IFERROR(IF(OR($A6="",J6="",J6=0),"",ROUND(SUMPRODUCT(MAX(('02_偏向角_記録'!$D$2:$D$401=$A6)*('02_偏向角_記録'!$C$2:$C$401="3T")*'02_偏向角_記録'!$G$2:$G$401)),2)),"")</f>
        <v/>
      </c>
      <c r="O6" s="18">
        <f>IFERROR(IF(OR($A6="",J6="",J6=0),"",IF(COUNTIFS('02_偏向角_記録'!$D$2:$D$401,$A6,'02_偏向角_記録'!$C$2:$C$401,"3T",'02_偏向角_記録'!$G$2:$G$401,"&gt;=45")&gt;0,"要確認","適合")),"")</f>
        <v/>
      </c>
    </row>
    <row r="7">
      <c r="A7" s="23">
        <f>IF('01_試料マスタ'!A4="","",'01_試料マスタ'!A4)</f>
        <v/>
      </c>
      <c r="B7" s="23">
        <f>IF('01_試料マスタ'!B4="","",'01_試料マスタ'!B4)</f>
        <v/>
      </c>
      <c r="C7" s="23">
        <f>IF('01_試料マスタ'!C4="","",'01_試料マスタ'!C4)</f>
        <v/>
      </c>
      <c r="D7" s="18">
        <f>IF($A7="","",COUNTIFS('02_偏向角_記録'!$D$2:$D$401,$A7,'02_偏向角_記録'!$C$2:$C$401,"1.5T",'02_偏向角_記録'!$G$2:$G$401,"&gt;=0"))</f>
        <v/>
      </c>
      <c r="E7" s="24">
        <f>IFERROR(IF(OR($A7="",D7="",D7=0),"",ROUND(AVERAGEIFS('02_偏向角_記録'!$G$2:$G$401,'02_偏向角_記録'!$D$2:$D$401,$A7,'02_偏向角_記録'!$C$2:$C$401,"1.5T"),2)),"")</f>
        <v/>
      </c>
      <c r="F7" s="24">
        <f>IFERROR(IF(OR($A7="",D7="",D7&lt;2),"",ROUND(SQRT(SUMPRODUCT(('02_偏向角_記録'!$D$2:$D$401=$A7)*('02_偏向角_記録'!$C$2:$C$401="1.5T")*('02_偏向角_記録'!$G$2:$G$401&lt;&gt;"")*('02_偏向角_記録'!$G$2:$G$401-E7)^2)/(D7-1)),2)),"")</f>
        <v/>
      </c>
      <c r="G7" s="24">
        <f>IFERROR(IF(OR($A7="",D7="",D7&lt;2),"",ROUND(TINV(0.05,D7-1)*F7/SQRT(D7),2)),"")</f>
        <v/>
      </c>
      <c r="H7" s="24">
        <f>IFERROR(IF(OR($A7="",D7="",D7=0),"",ROUND(SUMPRODUCT(MAX(('02_偏向角_記録'!$D$2:$D$401=$A7)*('02_偏向角_記録'!$C$2:$C$401="1.5T")*'02_偏向角_記録'!$G$2:$G$401)),2)),"")</f>
        <v/>
      </c>
      <c r="I7" s="18">
        <f>IFERROR(IF(OR($A7="",D7="",D7=0),"",IF(COUNTIFS('02_偏向角_記録'!$D$2:$D$401,$A7,'02_偏向角_記録'!$C$2:$C$401,"1.5T",'02_偏向角_記録'!$G$2:$G$401,"&gt;=45")&gt;0,"要確認","適合")),"")</f>
        <v/>
      </c>
      <c r="J7" s="18">
        <f>IF($A7="","",COUNTIFS('02_偏向角_記録'!$D$2:$D$401,$A7,'02_偏向角_記録'!$C$2:$C$401,"3T",'02_偏向角_記録'!$G$2:$G$401,"&gt;=0"))</f>
        <v/>
      </c>
      <c r="K7" s="24">
        <f>IFERROR(IF(OR($A7="",J7="",J7=0),"",ROUND(AVERAGEIFS('02_偏向角_記録'!$G$2:$G$401,'02_偏向角_記録'!$D$2:$D$401,$A7,'02_偏向角_記録'!$C$2:$C$401,"3T"),2)),"")</f>
        <v/>
      </c>
      <c r="L7" s="24">
        <f>IFERROR(IF(OR($A7="",J7="",J7&lt;2),"",ROUND(SQRT(SUMPRODUCT(('02_偏向角_記録'!$D$2:$D$401=$A7)*('02_偏向角_記録'!$C$2:$C$401="3T")*('02_偏向角_記録'!$G$2:$G$401&lt;&gt;"")*('02_偏向角_記録'!$G$2:$G$401-K7)^2)/(J7-1)),2)),"")</f>
        <v/>
      </c>
      <c r="M7" s="24">
        <f>IFERROR(IF(OR($A7="",J7="",J7&lt;2),"",ROUND(TINV(0.05,J7-1)*L7/SQRT(J7),2)),"")</f>
        <v/>
      </c>
      <c r="N7" s="24">
        <f>IFERROR(IF(OR($A7="",J7="",J7=0),"",ROUND(SUMPRODUCT(MAX(('02_偏向角_記録'!$D$2:$D$401=$A7)*('02_偏向角_記録'!$C$2:$C$401="3T")*'02_偏向角_記録'!$G$2:$G$401)),2)),"")</f>
        <v/>
      </c>
      <c r="O7" s="18">
        <f>IFERROR(IF(OR($A7="",J7="",J7=0),"",IF(COUNTIFS('02_偏向角_記録'!$D$2:$D$401,$A7,'02_偏向角_記録'!$C$2:$C$401,"3T",'02_偏向角_記録'!$G$2:$G$401,"&gt;=45")&gt;0,"要確認","適合")),"")</f>
        <v/>
      </c>
    </row>
    <row r="8">
      <c r="A8" s="23">
        <f>IF('01_試料マスタ'!A5="","",'01_試料マスタ'!A5)</f>
        <v/>
      </c>
      <c r="B8" s="23">
        <f>IF('01_試料マスタ'!B5="","",'01_試料マスタ'!B5)</f>
        <v/>
      </c>
      <c r="C8" s="23">
        <f>IF('01_試料マスタ'!C5="","",'01_試料マスタ'!C5)</f>
        <v/>
      </c>
      <c r="D8" s="18">
        <f>IF($A8="","",COUNTIFS('02_偏向角_記録'!$D$2:$D$401,$A8,'02_偏向角_記録'!$C$2:$C$401,"1.5T",'02_偏向角_記録'!$G$2:$G$401,"&gt;=0"))</f>
        <v/>
      </c>
      <c r="E8" s="24">
        <f>IFERROR(IF(OR($A8="",D8="",D8=0),"",ROUND(AVERAGEIFS('02_偏向角_記録'!$G$2:$G$401,'02_偏向角_記録'!$D$2:$D$401,$A8,'02_偏向角_記録'!$C$2:$C$401,"1.5T"),2)),"")</f>
        <v/>
      </c>
      <c r="F8" s="24">
        <f>IFERROR(IF(OR($A8="",D8="",D8&lt;2),"",ROUND(SQRT(SUMPRODUCT(('02_偏向角_記録'!$D$2:$D$401=$A8)*('02_偏向角_記録'!$C$2:$C$401="1.5T")*('02_偏向角_記録'!$G$2:$G$401&lt;&gt;"")*('02_偏向角_記録'!$G$2:$G$401-E8)^2)/(D8-1)),2)),"")</f>
        <v/>
      </c>
      <c r="G8" s="24">
        <f>IFERROR(IF(OR($A8="",D8="",D8&lt;2),"",ROUND(TINV(0.05,D8-1)*F8/SQRT(D8),2)),"")</f>
        <v/>
      </c>
      <c r="H8" s="24">
        <f>IFERROR(IF(OR($A8="",D8="",D8=0),"",ROUND(SUMPRODUCT(MAX(('02_偏向角_記録'!$D$2:$D$401=$A8)*('02_偏向角_記録'!$C$2:$C$401="1.5T")*'02_偏向角_記録'!$G$2:$G$401)),2)),"")</f>
        <v/>
      </c>
      <c r="I8" s="18">
        <f>IFERROR(IF(OR($A8="",D8="",D8=0),"",IF(COUNTIFS('02_偏向角_記録'!$D$2:$D$401,$A8,'02_偏向角_記録'!$C$2:$C$401,"1.5T",'02_偏向角_記録'!$G$2:$G$401,"&gt;=45")&gt;0,"要確認","適合")),"")</f>
        <v/>
      </c>
      <c r="J8" s="18">
        <f>IF($A8="","",COUNTIFS('02_偏向角_記録'!$D$2:$D$401,$A8,'02_偏向角_記録'!$C$2:$C$401,"3T",'02_偏向角_記録'!$G$2:$G$401,"&gt;=0"))</f>
        <v/>
      </c>
      <c r="K8" s="24">
        <f>IFERROR(IF(OR($A8="",J8="",J8=0),"",ROUND(AVERAGEIFS('02_偏向角_記録'!$G$2:$G$401,'02_偏向角_記録'!$D$2:$D$401,$A8,'02_偏向角_記録'!$C$2:$C$401,"3T"),2)),"")</f>
        <v/>
      </c>
      <c r="L8" s="24">
        <f>IFERROR(IF(OR($A8="",J8="",J8&lt;2),"",ROUND(SQRT(SUMPRODUCT(('02_偏向角_記録'!$D$2:$D$401=$A8)*('02_偏向角_記録'!$C$2:$C$401="3T")*('02_偏向角_記録'!$G$2:$G$401&lt;&gt;"")*('02_偏向角_記録'!$G$2:$G$401-K8)^2)/(J8-1)),2)),"")</f>
        <v/>
      </c>
      <c r="M8" s="24">
        <f>IFERROR(IF(OR($A8="",J8="",J8&lt;2),"",ROUND(TINV(0.05,J8-1)*L8/SQRT(J8),2)),"")</f>
        <v/>
      </c>
      <c r="N8" s="24">
        <f>IFERROR(IF(OR($A8="",J8="",J8=0),"",ROUND(SUMPRODUCT(MAX(('02_偏向角_記録'!$D$2:$D$401=$A8)*('02_偏向角_記録'!$C$2:$C$401="3T")*'02_偏向角_記録'!$G$2:$G$401)),2)),"")</f>
        <v/>
      </c>
      <c r="O8" s="18">
        <f>IFERROR(IF(OR($A8="",J8="",J8=0),"",IF(COUNTIFS('02_偏向角_記録'!$D$2:$D$401,$A8,'02_偏向角_記録'!$C$2:$C$401,"3T",'02_偏向角_記録'!$G$2:$G$401,"&gt;=45")&gt;0,"要確認","適合")),"")</f>
        <v/>
      </c>
    </row>
    <row r="9">
      <c r="A9" s="23">
        <f>IF('01_試料マスタ'!A6="","",'01_試料マスタ'!A6)</f>
        <v/>
      </c>
      <c r="B9" s="23">
        <f>IF('01_試料マスタ'!B6="","",'01_試料マスタ'!B6)</f>
        <v/>
      </c>
      <c r="C9" s="23">
        <f>IF('01_試料マスタ'!C6="","",'01_試料マスタ'!C6)</f>
        <v/>
      </c>
      <c r="D9" s="18">
        <f>IF($A9="","",COUNTIFS('02_偏向角_記録'!$D$2:$D$401,$A9,'02_偏向角_記録'!$C$2:$C$401,"1.5T",'02_偏向角_記録'!$G$2:$G$401,"&gt;=0"))</f>
        <v/>
      </c>
      <c r="E9" s="24">
        <f>IFERROR(IF(OR($A9="",D9="",D9=0),"",ROUND(AVERAGEIFS('02_偏向角_記録'!$G$2:$G$401,'02_偏向角_記録'!$D$2:$D$401,$A9,'02_偏向角_記録'!$C$2:$C$401,"1.5T"),2)),"")</f>
        <v/>
      </c>
      <c r="F9" s="24">
        <f>IFERROR(IF(OR($A9="",D9="",D9&lt;2),"",ROUND(SQRT(SUMPRODUCT(('02_偏向角_記録'!$D$2:$D$401=$A9)*('02_偏向角_記録'!$C$2:$C$401="1.5T")*('02_偏向角_記録'!$G$2:$G$401&lt;&gt;"")*('02_偏向角_記録'!$G$2:$G$401-E9)^2)/(D9-1)),2)),"")</f>
        <v/>
      </c>
      <c r="G9" s="24">
        <f>IFERROR(IF(OR($A9="",D9="",D9&lt;2),"",ROUND(TINV(0.05,D9-1)*F9/SQRT(D9),2)),"")</f>
        <v/>
      </c>
      <c r="H9" s="24">
        <f>IFERROR(IF(OR($A9="",D9="",D9=0),"",ROUND(SUMPRODUCT(MAX(('02_偏向角_記録'!$D$2:$D$401=$A9)*('02_偏向角_記録'!$C$2:$C$401="1.5T")*'02_偏向角_記録'!$G$2:$G$401)),2)),"")</f>
        <v/>
      </c>
      <c r="I9" s="18">
        <f>IFERROR(IF(OR($A9="",D9="",D9=0),"",IF(COUNTIFS('02_偏向角_記録'!$D$2:$D$401,$A9,'02_偏向角_記録'!$C$2:$C$401,"1.5T",'02_偏向角_記録'!$G$2:$G$401,"&gt;=45")&gt;0,"要確認","適合")),"")</f>
        <v/>
      </c>
      <c r="J9" s="18">
        <f>IF($A9="","",COUNTIFS('02_偏向角_記録'!$D$2:$D$401,$A9,'02_偏向角_記録'!$C$2:$C$401,"3T",'02_偏向角_記録'!$G$2:$G$401,"&gt;=0"))</f>
        <v/>
      </c>
      <c r="K9" s="24">
        <f>IFERROR(IF(OR($A9="",J9="",J9=0),"",ROUND(AVERAGEIFS('02_偏向角_記録'!$G$2:$G$401,'02_偏向角_記録'!$D$2:$D$401,$A9,'02_偏向角_記録'!$C$2:$C$401,"3T"),2)),"")</f>
        <v/>
      </c>
      <c r="L9" s="24">
        <f>IFERROR(IF(OR($A9="",J9="",J9&lt;2),"",ROUND(SQRT(SUMPRODUCT(('02_偏向角_記録'!$D$2:$D$401=$A9)*('02_偏向角_記録'!$C$2:$C$401="3T")*('02_偏向角_記録'!$G$2:$G$401&lt;&gt;"")*('02_偏向角_記録'!$G$2:$G$401-K9)^2)/(J9-1)),2)),"")</f>
        <v/>
      </c>
      <c r="M9" s="24">
        <f>IFERROR(IF(OR($A9="",J9="",J9&lt;2),"",ROUND(TINV(0.05,J9-1)*L9/SQRT(J9),2)),"")</f>
        <v/>
      </c>
      <c r="N9" s="24">
        <f>IFERROR(IF(OR($A9="",J9="",J9=0),"",ROUND(SUMPRODUCT(MAX(('02_偏向角_記録'!$D$2:$D$401=$A9)*('02_偏向角_記録'!$C$2:$C$401="3T")*'02_偏向角_記録'!$G$2:$G$401)),2)),"")</f>
        <v/>
      </c>
      <c r="O9" s="18">
        <f>IFERROR(IF(OR($A9="",J9="",J9=0),"",IF(COUNTIFS('02_偏向角_記録'!$D$2:$D$401,$A9,'02_偏向角_記録'!$C$2:$C$401,"3T",'02_偏向角_記録'!$G$2:$G$401,"&gt;=45")&gt;0,"要確認","適合")),"")</f>
        <v/>
      </c>
    </row>
    <row r="10">
      <c r="A10" s="23">
        <f>IF('01_試料マスタ'!A7="","",'01_試料マスタ'!A7)</f>
        <v/>
      </c>
      <c r="B10" s="23">
        <f>IF('01_試料マスタ'!B7="","",'01_試料マスタ'!B7)</f>
        <v/>
      </c>
      <c r="C10" s="23">
        <f>IF('01_試料マスタ'!C7="","",'01_試料マスタ'!C7)</f>
        <v/>
      </c>
      <c r="D10" s="18">
        <f>IF($A10="","",COUNTIFS('02_偏向角_記録'!$D$2:$D$401,$A10,'02_偏向角_記録'!$C$2:$C$401,"1.5T",'02_偏向角_記録'!$G$2:$G$401,"&gt;=0"))</f>
        <v/>
      </c>
      <c r="E10" s="24">
        <f>IFERROR(IF(OR($A10="",D10="",D10=0),"",ROUND(AVERAGEIFS('02_偏向角_記録'!$G$2:$G$401,'02_偏向角_記録'!$D$2:$D$401,$A10,'02_偏向角_記録'!$C$2:$C$401,"1.5T"),2)),"")</f>
        <v/>
      </c>
      <c r="F10" s="24">
        <f>IFERROR(IF(OR($A10="",D10="",D10&lt;2),"",ROUND(SQRT(SUMPRODUCT(('02_偏向角_記録'!$D$2:$D$401=$A10)*('02_偏向角_記録'!$C$2:$C$401="1.5T")*('02_偏向角_記録'!$G$2:$G$401&lt;&gt;"")*('02_偏向角_記録'!$G$2:$G$401-E10)^2)/(D10-1)),2)),"")</f>
        <v/>
      </c>
      <c r="G10" s="24">
        <f>IFERROR(IF(OR($A10="",D10="",D10&lt;2),"",ROUND(TINV(0.05,D10-1)*F10/SQRT(D10),2)),"")</f>
        <v/>
      </c>
      <c r="H10" s="24">
        <f>IFERROR(IF(OR($A10="",D10="",D10=0),"",ROUND(SUMPRODUCT(MAX(('02_偏向角_記録'!$D$2:$D$401=$A10)*('02_偏向角_記録'!$C$2:$C$401="1.5T")*'02_偏向角_記録'!$G$2:$G$401)),2)),"")</f>
        <v/>
      </c>
      <c r="I10" s="18">
        <f>IFERROR(IF(OR($A10="",D10="",D10=0),"",IF(COUNTIFS('02_偏向角_記録'!$D$2:$D$401,$A10,'02_偏向角_記録'!$C$2:$C$401,"1.5T",'02_偏向角_記録'!$G$2:$G$401,"&gt;=45")&gt;0,"要確認","適合")),"")</f>
        <v/>
      </c>
      <c r="J10" s="18">
        <f>IF($A10="","",COUNTIFS('02_偏向角_記録'!$D$2:$D$401,$A10,'02_偏向角_記録'!$C$2:$C$401,"3T",'02_偏向角_記録'!$G$2:$G$401,"&gt;=0"))</f>
        <v/>
      </c>
      <c r="K10" s="24">
        <f>IFERROR(IF(OR($A10="",J10="",J10=0),"",ROUND(AVERAGEIFS('02_偏向角_記録'!$G$2:$G$401,'02_偏向角_記録'!$D$2:$D$401,$A10,'02_偏向角_記録'!$C$2:$C$401,"3T"),2)),"")</f>
        <v/>
      </c>
      <c r="L10" s="24">
        <f>IFERROR(IF(OR($A10="",J10="",J10&lt;2),"",ROUND(SQRT(SUMPRODUCT(('02_偏向角_記録'!$D$2:$D$401=$A10)*('02_偏向角_記録'!$C$2:$C$401="3T")*('02_偏向角_記録'!$G$2:$G$401&lt;&gt;"")*('02_偏向角_記録'!$G$2:$G$401-K10)^2)/(J10-1)),2)),"")</f>
        <v/>
      </c>
      <c r="M10" s="24">
        <f>IFERROR(IF(OR($A10="",J10="",J10&lt;2),"",ROUND(TINV(0.05,J10-1)*L10/SQRT(J10),2)),"")</f>
        <v/>
      </c>
      <c r="N10" s="24">
        <f>IFERROR(IF(OR($A10="",J10="",J10=0),"",ROUND(SUMPRODUCT(MAX(('02_偏向角_記録'!$D$2:$D$401=$A10)*('02_偏向角_記録'!$C$2:$C$401="3T")*'02_偏向角_記録'!$G$2:$G$401)),2)),"")</f>
        <v/>
      </c>
      <c r="O10" s="18">
        <f>IFERROR(IF(OR($A10="",J10="",J10=0),"",IF(COUNTIFS('02_偏向角_記録'!$D$2:$D$401,$A10,'02_偏向角_記録'!$C$2:$C$401,"3T",'02_偏向角_記録'!$G$2:$G$401,"&gt;=45")&gt;0,"要確認","適合")),"")</f>
        <v/>
      </c>
    </row>
    <row r="11">
      <c r="A11" s="23">
        <f>IF('01_試料マスタ'!A8="","",'01_試料マスタ'!A8)</f>
        <v/>
      </c>
      <c r="B11" s="23">
        <f>IF('01_試料マスタ'!B8="","",'01_試料マスタ'!B8)</f>
        <v/>
      </c>
      <c r="C11" s="23">
        <f>IF('01_試料マスタ'!C8="","",'01_試料マスタ'!C8)</f>
        <v/>
      </c>
      <c r="D11" s="18">
        <f>IF($A11="","",COUNTIFS('02_偏向角_記録'!$D$2:$D$401,$A11,'02_偏向角_記録'!$C$2:$C$401,"1.5T",'02_偏向角_記録'!$G$2:$G$401,"&gt;=0"))</f>
        <v/>
      </c>
      <c r="E11" s="24">
        <f>IFERROR(IF(OR($A11="",D11="",D11=0),"",ROUND(AVERAGEIFS('02_偏向角_記録'!$G$2:$G$401,'02_偏向角_記録'!$D$2:$D$401,$A11,'02_偏向角_記録'!$C$2:$C$401,"1.5T"),2)),"")</f>
        <v/>
      </c>
      <c r="F11" s="24">
        <f>IFERROR(IF(OR($A11="",D11="",D11&lt;2),"",ROUND(SQRT(SUMPRODUCT(('02_偏向角_記録'!$D$2:$D$401=$A11)*('02_偏向角_記録'!$C$2:$C$401="1.5T")*('02_偏向角_記録'!$G$2:$G$401&lt;&gt;"")*('02_偏向角_記録'!$G$2:$G$401-E11)^2)/(D11-1)),2)),"")</f>
        <v/>
      </c>
      <c r="G11" s="24">
        <f>IFERROR(IF(OR($A11="",D11="",D11&lt;2),"",ROUND(TINV(0.05,D11-1)*F11/SQRT(D11),2)),"")</f>
        <v/>
      </c>
      <c r="H11" s="24">
        <f>IFERROR(IF(OR($A11="",D11="",D11=0),"",ROUND(SUMPRODUCT(MAX(('02_偏向角_記録'!$D$2:$D$401=$A11)*('02_偏向角_記録'!$C$2:$C$401="1.5T")*'02_偏向角_記録'!$G$2:$G$401)),2)),"")</f>
        <v/>
      </c>
      <c r="I11" s="18">
        <f>IFERROR(IF(OR($A11="",D11="",D11=0),"",IF(COUNTIFS('02_偏向角_記録'!$D$2:$D$401,$A11,'02_偏向角_記録'!$C$2:$C$401,"1.5T",'02_偏向角_記録'!$G$2:$G$401,"&gt;=45")&gt;0,"要確認","適合")),"")</f>
        <v/>
      </c>
      <c r="J11" s="18">
        <f>IF($A11="","",COUNTIFS('02_偏向角_記録'!$D$2:$D$401,$A11,'02_偏向角_記録'!$C$2:$C$401,"3T",'02_偏向角_記録'!$G$2:$G$401,"&gt;=0"))</f>
        <v/>
      </c>
      <c r="K11" s="24">
        <f>IFERROR(IF(OR($A11="",J11="",J11=0),"",ROUND(AVERAGEIFS('02_偏向角_記録'!$G$2:$G$401,'02_偏向角_記録'!$D$2:$D$401,$A11,'02_偏向角_記録'!$C$2:$C$401,"3T"),2)),"")</f>
        <v/>
      </c>
      <c r="L11" s="24">
        <f>IFERROR(IF(OR($A11="",J11="",J11&lt;2),"",ROUND(SQRT(SUMPRODUCT(('02_偏向角_記録'!$D$2:$D$401=$A11)*('02_偏向角_記録'!$C$2:$C$401="3T")*('02_偏向角_記録'!$G$2:$G$401&lt;&gt;"")*('02_偏向角_記録'!$G$2:$G$401-K11)^2)/(J11-1)),2)),"")</f>
        <v/>
      </c>
      <c r="M11" s="24">
        <f>IFERROR(IF(OR($A11="",J11="",J11&lt;2),"",ROUND(TINV(0.05,J11-1)*L11/SQRT(J11),2)),"")</f>
        <v/>
      </c>
      <c r="N11" s="24">
        <f>IFERROR(IF(OR($A11="",J11="",J11=0),"",ROUND(SUMPRODUCT(MAX(('02_偏向角_記録'!$D$2:$D$401=$A11)*('02_偏向角_記録'!$C$2:$C$401="3T")*'02_偏向角_記録'!$G$2:$G$401)),2)),"")</f>
        <v/>
      </c>
      <c r="O11" s="18">
        <f>IFERROR(IF(OR($A11="",J11="",J11=0),"",IF(COUNTIFS('02_偏向角_記録'!$D$2:$D$401,$A11,'02_偏向角_記録'!$C$2:$C$401,"3T",'02_偏向角_記録'!$G$2:$G$401,"&gt;=45")&gt;0,"要確認","適合")),"")</f>
        <v/>
      </c>
    </row>
    <row r="12">
      <c r="A12" s="23">
        <f>IF('01_試料マスタ'!A9="","",'01_試料マスタ'!A9)</f>
        <v/>
      </c>
      <c r="B12" s="23">
        <f>IF('01_試料マスタ'!B9="","",'01_試料マスタ'!B9)</f>
        <v/>
      </c>
      <c r="C12" s="23">
        <f>IF('01_試料マスタ'!C9="","",'01_試料マスタ'!C9)</f>
        <v/>
      </c>
      <c r="D12" s="18">
        <f>IF($A12="","",COUNTIFS('02_偏向角_記録'!$D$2:$D$401,$A12,'02_偏向角_記録'!$C$2:$C$401,"1.5T",'02_偏向角_記録'!$G$2:$G$401,"&gt;=0"))</f>
        <v/>
      </c>
      <c r="E12" s="24">
        <f>IFERROR(IF(OR($A12="",D12="",D12=0),"",ROUND(AVERAGEIFS('02_偏向角_記録'!$G$2:$G$401,'02_偏向角_記録'!$D$2:$D$401,$A12,'02_偏向角_記録'!$C$2:$C$401,"1.5T"),2)),"")</f>
        <v/>
      </c>
      <c r="F12" s="24">
        <f>IFERROR(IF(OR($A12="",D12="",D12&lt;2),"",ROUND(SQRT(SUMPRODUCT(('02_偏向角_記録'!$D$2:$D$401=$A12)*('02_偏向角_記録'!$C$2:$C$401="1.5T")*('02_偏向角_記録'!$G$2:$G$401&lt;&gt;"")*('02_偏向角_記録'!$G$2:$G$401-E12)^2)/(D12-1)),2)),"")</f>
        <v/>
      </c>
      <c r="G12" s="24">
        <f>IFERROR(IF(OR($A12="",D12="",D12&lt;2),"",ROUND(TINV(0.05,D12-1)*F12/SQRT(D12),2)),"")</f>
        <v/>
      </c>
      <c r="H12" s="24">
        <f>IFERROR(IF(OR($A12="",D12="",D12=0),"",ROUND(SUMPRODUCT(MAX(('02_偏向角_記録'!$D$2:$D$401=$A12)*('02_偏向角_記録'!$C$2:$C$401="1.5T")*'02_偏向角_記録'!$G$2:$G$401)),2)),"")</f>
        <v/>
      </c>
      <c r="I12" s="18">
        <f>IFERROR(IF(OR($A12="",D12="",D12=0),"",IF(COUNTIFS('02_偏向角_記録'!$D$2:$D$401,$A12,'02_偏向角_記録'!$C$2:$C$401,"1.5T",'02_偏向角_記録'!$G$2:$G$401,"&gt;=45")&gt;0,"要確認","適合")),"")</f>
        <v/>
      </c>
      <c r="J12" s="18">
        <f>IF($A12="","",COUNTIFS('02_偏向角_記録'!$D$2:$D$401,$A12,'02_偏向角_記録'!$C$2:$C$401,"3T",'02_偏向角_記録'!$G$2:$G$401,"&gt;=0"))</f>
        <v/>
      </c>
      <c r="K12" s="24">
        <f>IFERROR(IF(OR($A12="",J12="",J12=0),"",ROUND(AVERAGEIFS('02_偏向角_記録'!$G$2:$G$401,'02_偏向角_記録'!$D$2:$D$401,$A12,'02_偏向角_記録'!$C$2:$C$401,"3T"),2)),"")</f>
        <v/>
      </c>
      <c r="L12" s="24">
        <f>IFERROR(IF(OR($A12="",J12="",J12&lt;2),"",ROUND(SQRT(SUMPRODUCT(('02_偏向角_記録'!$D$2:$D$401=$A12)*('02_偏向角_記録'!$C$2:$C$401="3T")*('02_偏向角_記録'!$G$2:$G$401&lt;&gt;"")*('02_偏向角_記録'!$G$2:$G$401-K12)^2)/(J12-1)),2)),"")</f>
        <v/>
      </c>
      <c r="M12" s="24">
        <f>IFERROR(IF(OR($A12="",J12="",J12&lt;2),"",ROUND(TINV(0.05,J12-1)*L12/SQRT(J12),2)),"")</f>
        <v/>
      </c>
      <c r="N12" s="24">
        <f>IFERROR(IF(OR($A12="",J12="",J12=0),"",ROUND(SUMPRODUCT(MAX(('02_偏向角_記録'!$D$2:$D$401=$A12)*('02_偏向角_記録'!$C$2:$C$401="3T")*'02_偏向角_記録'!$G$2:$G$401)),2)),"")</f>
        <v/>
      </c>
      <c r="O12" s="18">
        <f>IFERROR(IF(OR($A12="",J12="",J12=0),"",IF(COUNTIFS('02_偏向角_記録'!$D$2:$D$401,$A12,'02_偏向角_記録'!$C$2:$C$401,"3T",'02_偏向角_記録'!$G$2:$G$401,"&gt;=45")&gt;0,"要確認","適合")),"")</f>
        <v/>
      </c>
    </row>
    <row r="13">
      <c r="A13" s="23">
        <f>IF('01_試料マスタ'!A10="","",'01_試料マスタ'!A10)</f>
        <v/>
      </c>
      <c r="B13" s="23">
        <f>IF('01_試料マスタ'!B10="","",'01_試料マスタ'!B10)</f>
        <v/>
      </c>
      <c r="C13" s="23">
        <f>IF('01_試料マスタ'!C10="","",'01_試料マスタ'!C10)</f>
        <v/>
      </c>
      <c r="D13" s="18">
        <f>IF($A13="","",COUNTIFS('02_偏向角_記録'!$D$2:$D$401,$A13,'02_偏向角_記録'!$C$2:$C$401,"1.5T",'02_偏向角_記録'!$G$2:$G$401,"&gt;=0"))</f>
        <v/>
      </c>
      <c r="E13" s="24">
        <f>IFERROR(IF(OR($A13="",D13="",D13=0),"",ROUND(AVERAGEIFS('02_偏向角_記録'!$G$2:$G$401,'02_偏向角_記録'!$D$2:$D$401,$A13,'02_偏向角_記録'!$C$2:$C$401,"1.5T"),2)),"")</f>
        <v/>
      </c>
      <c r="F13" s="24">
        <f>IFERROR(IF(OR($A13="",D13="",D13&lt;2),"",ROUND(SQRT(SUMPRODUCT(('02_偏向角_記録'!$D$2:$D$401=$A13)*('02_偏向角_記録'!$C$2:$C$401="1.5T")*('02_偏向角_記録'!$G$2:$G$401&lt;&gt;"")*('02_偏向角_記録'!$G$2:$G$401-E13)^2)/(D13-1)),2)),"")</f>
        <v/>
      </c>
      <c r="G13" s="24">
        <f>IFERROR(IF(OR($A13="",D13="",D13&lt;2),"",ROUND(TINV(0.05,D13-1)*F13/SQRT(D13),2)),"")</f>
        <v/>
      </c>
      <c r="H13" s="24">
        <f>IFERROR(IF(OR($A13="",D13="",D13=0),"",ROUND(SUMPRODUCT(MAX(('02_偏向角_記録'!$D$2:$D$401=$A13)*('02_偏向角_記録'!$C$2:$C$401="1.5T")*'02_偏向角_記録'!$G$2:$G$401)),2)),"")</f>
        <v/>
      </c>
      <c r="I13" s="18">
        <f>IFERROR(IF(OR($A13="",D13="",D13=0),"",IF(COUNTIFS('02_偏向角_記録'!$D$2:$D$401,$A13,'02_偏向角_記録'!$C$2:$C$401,"1.5T",'02_偏向角_記録'!$G$2:$G$401,"&gt;=45")&gt;0,"要確認","適合")),"")</f>
        <v/>
      </c>
      <c r="J13" s="18">
        <f>IF($A13="","",COUNTIFS('02_偏向角_記録'!$D$2:$D$401,$A13,'02_偏向角_記録'!$C$2:$C$401,"3T",'02_偏向角_記録'!$G$2:$G$401,"&gt;=0"))</f>
        <v/>
      </c>
      <c r="K13" s="24">
        <f>IFERROR(IF(OR($A13="",J13="",J13=0),"",ROUND(AVERAGEIFS('02_偏向角_記録'!$G$2:$G$401,'02_偏向角_記録'!$D$2:$D$401,$A13,'02_偏向角_記録'!$C$2:$C$401,"3T"),2)),"")</f>
        <v/>
      </c>
      <c r="L13" s="24">
        <f>IFERROR(IF(OR($A13="",J13="",J13&lt;2),"",ROUND(SQRT(SUMPRODUCT(('02_偏向角_記録'!$D$2:$D$401=$A13)*('02_偏向角_記録'!$C$2:$C$401="3T")*('02_偏向角_記録'!$G$2:$G$401&lt;&gt;"")*('02_偏向角_記録'!$G$2:$G$401-K13)^2)/(J13-1)),2)),"")</f>
        <v/>
      </c>
      <c r="M13" s="24">
        <f>IFERROR(IF(OR($A13="",J13="",J13&lt;2),"",ROUND(TINV(0.05,J13-1)*L13/SQRT(J13),2)),"")</f>
        <v/>
      </c>
      <c r="N13" s="24">
        <f>IFERROR(IF(OR($A13="",J13="",J13=0),"",ROUND(SUMPRODUCT(MAX(('02_偏向角_記録'!$D$2:$D$401=$A13)*('02_偏向角_記録'!$C$2:$C$401="3T")*'02_偏向角_記録'!$G$2:$G$401)),2)),"")</f>
        <v/>
      </c>
      <c r="O13" s="18">
        <f>IFERROR(IF(OR($A13="",J13="",J13=0),"",IF(COUNTIFS('02_偏向角_記録'!$D$2:$D$401,$A13,'02_偏向角_記録'!$C$2:$C$401,"3T",'02_偏向角_記録'!$G$2:$G$401,"&gt;=45")&gt;0,"要確認","適合")),"")</f>
        <v/>
      </c>
    </row>
    <row r="14">
      <c r="A14" s="23">
        <f>IF('01_試料マスタ'!A11="","",'01_試料マスタ'!A11)</f>
        <v/>
      </c>
      <c r="B14" s="23">
        <f>IF('01_試料マスタ'!B11="","",'01_試料マスタ'!B11)</f>
        <v/>
      </c>
      <c r="C14" s="23">
        <f>IF('01_試料マスタ'!C11="","",'01_試料マスタ'!C11)</f>
        <v/>
      </c>
      <c r="D14" s="18">
        <f>IF($A14="","",COUNTIFS('02_偏向角_記録'!$D$2:$D$401,$A14,'02_偏向角_記録'!$C$2:$C$401,"1.5T",'02_偏向角_記録'!$G$2:$G$401,"&gt;=0"))</f>
        <v/>
      </c>
      <c r="E14" s="24">
        <f>IFERROR(IF(OR($A14="",D14="",D14=0),"",ROUND(AVERAGEIFS('02_偏向角_記録'!$G$2:$G$401,'02_偏向角_記録'!$D$2:$D$401,$A14,'02_偏向角_記録'!$C$2:$C$401,"1.5T"),2)),"")</f>
        <v/>
      </c>
      <c r="F14" s="24">
        <f>IFERROR(IF(OR($A14="",D14="",D14&lt;2),"",ROUND(SQRT(SUMPRODUCT(('02_偏向角_記録'!$D$2:$D$401=$A14)*('02_偏向角_記録'!$C$2:$C$401="1.5T")*('02_偏向角_記録'!$G$2:$G$401&lt;&gt;"")*('02_偏向角_記録'!$G$2:$G$401-E14)^2)/(D14-1)),2)),"")</f>
        <v/>
      </c>
      <c r="G14" s="24">
        <f>IFERROR(IF(OR($A14="",D14="",D14&lt;2),"",ROUND(TINV(0.05,D14-1)*F14/SQRT(D14),2)),"")</f>
        <v/>
      </c>
      <c r="H14" s="24">
        <f>IFERROR(IF(OR($A14="",D14="",D14=0),"",ROUND(SUMPRODUCT(MAX(('02_偏向角_記録'!$D$2:$D$401=$A14)*('02_偏向角_記録'!$C$2:$C$401="1.5T")*'02_偏向角_記録'!$G$2:$G$401)),2)),"")</f>
        <v/>
      </c>
      <c r="I14" s="18">
        <f>IFERROR(IF(OR($A14="",D14="",D14=0),"",IF(COUNTIFS('02_偏向角_記録'!$D$2:$D$401,$A14,'02_偏向角_記録'!$C$2:$C$401,"1.5T",'02_偏向角_記録'!$G$2:$G$401,"&gt;=45")&gt;0,"要確認","適合")),"")</f>
        <v/>
      </c>
      <c r="J14" s="18">
        <f>IF($A14="","",COUNTIFS('02_偏向角_記録'!$D$2:$D$401,$A14,'02_偏向角_記録'!$C$2:$C$401,"3T",'02_偏向角_記録'!$G$2:$G$401,"&gt;=0"))</f>
        <v/>
      </c>
      <c r="K14" s="24">
        <f>IFERROR(IF(OR($A14="",J14="",J14=0),"",ROUND(AVERAGEIFS('02_偏向角_記録'!$G$2:$G$401,'02_偏向角_記録'!$D$2:$D$401,$A14,'02_偏向角_記録'!$C$2:$C$401,"3T"),2)),"")</f>
        <v/>
      </c>
      <c r="L14" s="24">
        <f>IFERROR(IF(OR($A14="",J14="",J14&lt;2),"",ROUND(SQRT(SUMPRODUCT(('02_偏向角_記録'!$D$2:$D$401=$A14)*('02_偏向角_記録'!$C$2:$C$401="3T")*('02_偏向角_記録'!$G$2:$G$401&lt;&gt;"")*('02_偏向角_記録'!$G$2:$G$401-K14)^2)/(J14-1)),2)),"")</f>
        <v/>
      </c>
      <c r="M14" s="24">
        <f>IFERROR(IF(OR($A14="",J14="",J14&lt;2),"",ROUND(TINV(0.05,J14-1)*L14/SQRT(J14),2)),"")</f>
        <v/>
      </c>
      <c r="N14" s="24">
        <f>IFERROR(IF(OR($A14="",J14="",J14=0),"",ROUND(SUMPRODUCT(MAX(('02_偏向角_記録'!$D$2:$D$401=$A14)*('02_偏向角_記録'!$C$2:$C$401="3T")*'02_偏向角_記録'!$G$2:$G$401)),2)),"")</f>
        <v/>
      </c>
      <c r="O14" s="18">
        <f>IFERROR(IF(OR($A14="",J14="",J14=0),"",IF(COUNTIFS('02_偏向角_記録'!$D$2:$D$401,$A14,'02_偏向角_記録'!$C$2:$C$401,"3T",'02_偏向角_記録'!$G$2:$G$401,"&gt;=45")&gt;0,"要確認","適合")),"")</f>
        <v/>
      </c>
    </row>
    <row r="15">
      <c r="A15" s="23">
        <f>IF('01_試料マスタ'!A12="","",'01_試料マスタ'!A12)</f>
        <v/>
      </c>
      <c r="B15" s="23">
        <f>IF('01_試料マスタ'!B12="","",'01_試料マスタ'!B12)</f>
        <v/>
      </c>
      <c r="C15" s="23">
        <f>IF('01_試料マスタ'!C12="","",'01_試料マスタ'!C12)</f>
        <v/>
      </c>
      <c r="D15" s="18">
        <f>IF($A15="","",COUNTIFS('02_偏向角_記録'!$D$2:$D$401,$A15,'02_偏向角_記録'!$C$2:$C$401,"1.5T",'02_偏向角_記録'!$G$2:$G$401,"&gt;=0"))</f>
        <v/>
      </c>
      <c r="E15" s="24">
        <f>IFERROR(IF(OR($A15="",D15="",D15=0),"",ROUND(AVERAGEIFS('02_偏向角_記録'!$G$2:$G$401,'02_偏向角_記録'!$D$2:$D$401,$A15,'02_偏向角_記録'!$C$2:$C$401,"1.5T"),2)),"")</f>
        <v/>
      </c>
      <c r="F15" s="24">
        <f>IFERROR(IF(OR($A15="",D15="",D15&lt;2),"",ROUND(SQRT(SUMPRODUCT(('02_偏向角_記録'!$D$2:$D$401=$A15)*('02_偏向角_記録'!$C$2:$C$401="1.5T")*('02_偏向角_記録'!$G$2:$G$401&lt;&gt;"")*('02_偏向角_記録'!$G$2:$G$401-E15)^2)/(D15-1)),2)),"")</f>
        <v/>
      </c>
      <c r="G15" s="24">
        <f>IFERROR(IF(OR($A15="",D15="",D15&lt;2),"",ROUND(TINV(0.05,D15-1)*F15/SQRT(D15),2)),"")</f>
        <v/>
      </c>
      <c r="H15" s="24">
        <f>IFERROR(IF(OR($A15="",D15="",D15=0),"",ROUND(SUMPRODUCT(MAX(('02_偏向角_記録'!$D$2:$D$401=$A15)*('02_偏向角_記録'!$C$2:$C$401="1.5T")*'02_偏向角_記録'!$G$2:$G$401)),2)),"")</f>
        <v/>
      </c>
      <c r="I15" s="18">
        <f>IFERROR(IF(OR($A15="",D15="",D15=0),"",IF(COUNTIFS('02_偏向角_記録'!$D$2:$D$401,$A15,'02_偏向角_記録'!$C$2:$C$401,"1.5T",'02_偏向角_記録'!$G$2:$G$401,"&gt;=45")&gt;0,"要確認","適合")),"")</f>
        <v/>
      </c>
      <c r="J15" s="18">
        <f>IF($A15="","",COUNTIFS('02_偏向角_記録'!$D$2:$D$401,$A15,'02_偏向角_記録'!$C$2:$C$401,"3T",'02_偏向角_記録'!$G$2:$G$401,"&gt;=0"))</f>
        <v/>
      </c>
      <c r="K15" s="24">
        <f>IFERROR(IF(OR($A15="",J15="",J15=0),"",ROUND(AVERAGEIFS('02_偏向角_記録'!$G$2:$G$401,'02_偏向角_記録'!$D$2:$D$401,$A15,'02_偏向角_記録'!$C$2:$C$401,"3T"),2)),"")</f>
        <v/>
      </c>
      <c r="L15" s="24">
        <f>IFERROR(IF(OR($A15="",J15="",J15&lt;2),"",ROUND(SQRT(SUMPRODUCT(('02_偏向角_記録'!$D$2:$D$401=$A15)*('02_偏向角_記録'!$C$2:$C$401="3T")*('02_偏向角_記録'!$G$2:$G$401&lt;&gt;"")*('02_偏向角_記録'!$G$2:$G$401-K15)^2)/(J15-1)),2)),"")</f>
        <v/>
      </c>
      <c r="M15" s="24">
        <f>IFERROR(IF(OR($A15="",J15="",J15&lt;2),"",ROUND(TINV(0.05,J15-1)*L15/SQRT(J15),2)),"")</f>
        <v/>
      </c>
      <c r="N15" s="24">
        <f>IFERROR(IF(OR($A15="",J15="",J15=0),"",ROUND(SUMPRODUCT(MAX(('02_偏向角_記録'!$D$2:$D$401=$A15)*('02_偏向角_記録'!$C$2:$C$401="3T")*'02_偏向角_記録'!$G$2:$G$401)),2)),"")</f>
        <v/>
      </c>
      <c r="O15" s="18">
        <f>IFERROR(IF(OR($A15="",J15="",J15=0),"",IF(COUNTIFS('02_偏向角_記録'!$D$2:$D$401,$A15,'02_偏向角_記録'!$C$2:$C$401,"3T",'02_偏向角_記録'!$G$2:$G$401,"&gt;=45")&gt;0,"要確認","適合")),"")</f>
        <v/>
      </c>
    </row>
    <row r="16">
      <c r="A16" s="23">
        <f>IF('01_試料マスタ'!A13="","",'01_試料マスタ'!A13)</f>
        <v/>
      </c>
      <c r="B16" s="23">
        <f>IF('01_試料マスタ'!B13="","",'01_試料マスタ'!B13)</f>
        <v/>
      </c>
      <c r="C16" s="23">
        <f>IF('01_試料マスタ'!C13="","",'01_試料マスタ'!C13)</f>
        <v/>
      </c>
      <c r="D16" s="18">
        <f>IF($A16="","",COUNTIFS('02_偏向角_記録'!$D$2:$D$401,$A16,'02_偏向角_記録'!$C$2:$C$401,"1.5T",'02_偏向角_記録'!$G$2:$G$401,"&gt;=0"))</f>
        <v/>
      </c>
      <c r="E16" s="24">
        <f>IFERROR(IF(OR($A16="",D16="",D16=0),"",ROUND(AVERAGEIFS('02_偏向角_記録'!$G$2:$G$401,'02_偏向角_記録'!$D$2:$D$401,$A16,'02_偏向角_記録'!$C$2:$C$401,"1.5T"),2)),"")</f>
        <v/>
      </c>
      <c r="F16" s="24">
        <f>IFERROR(IF(OR($A16="",D16="",D16&lt;2),"",ROUND(SQRT(SUMPRODUCT(('02_偏向角_記録'!$D$2:$D$401=$A16)*('02_偏向角_記録'!$C$2:$C$401="1.5T")*('02_偏向角_記録'!$G$2:$G$401&lt;&gt;"")*('02_偏向角_記録'!$G$2:$G$401-E16)^2)/(D16-1)),2)),"")</f>
        <v/>
      </c>
      <c r="G16" s="24">
        <f>IFERROR(IF(OR($A16="",D16="",D16&lt;2),"",ROUND(TINV(0.05,D16-1)*F16/SQRT(D16),2)),"")</f>
        <v/>
      </c>
      <c r="H16" s="24">
        <f>IFERROR(IF(OR($A16="",D16="",D16=0),"",ROUND(SUMPRODUCT(MAX(('02_偏向角_記録'!$D$2:$D$401=$A16)*('02_偏向角_記録'!$C$2:$C$401="1.5T")*'02_偏向角_記録'!$G$2:$G$401)),2)),"")</f>
        <v/>
      </c>
      <c r="I16" s="18">
        <f>IFERROR(IF(OR($A16="",D16="",D16=0),"",IF(COUNTIFS('02_偏向角_記録'!$D$2:$D$401,$A16,'02_偏向角_記録'!$C$2:$C$401,"1.5T",'02_偏向角_記録'!$G$2:$G$401,"&gt;=45")&gt;0,"要確認","適合")),"")</f>
        <v/>
      </c>
      <c r="J16" s="18">
        <f>IF($A16="","",COUNTIFS('02_偏向角_記録'!$D$2:$D$401,$A16,'02_偏向角_記録'!$C$2:$C$401,"3T",'02_偏向角_記録'!$G$2:$G$401,"&gt;=0"))</f>
        <v/>
      </c>
      <c r="K16" s="24">
        <f>IFERROR(IF(OR($A16="",J16="",J16=0),"",ROUND(AVERAGEIFS('02_偏向角_記録'!$G$2:$G$401,'02_偏向角_記録'!$D$2:$D$401,$A16,'02_偏向角_記録'!$C$2:$C$401,"3T"),2)),"")</f>
        <v/>
      </c>
      <c r="L16" s="24">
        <f>IFERROR(IF(OR($A16="",J16="",J16&lt;2),"",ROUND(SQRT(SUMPRODUCT(('02_偏向角_記録'!$D$2:$D$401=$A16)*('02_偏向角_記録'!$C$2:$C$401="3T")*('02_偏向角_記録'!$G$2:$G$401&lt;&gt;"")*('02_偏向角_記録'!$G$2:$G$401-K16)^2)/(J16-1)),2)),"")</f>
        <v/>
      </c>
      <c r="M16" s="24">
        <f>IFERROR(IF(OR($A16="",J16="",J16&lt;2),"",ROUND(TINV(0.05,J16-1)*L16/SQRT(J16),2)),"")</f>
        <v/>
      </c>
      <c r="N16" s="24">
        <f>IFERROR(IF(OR($A16="",J16="",J16=0),"",ROUND(SUMPRODUCT(MAX(('02_偏向角_記録'!$D$2:$D$401=$A16)*('02_偏向角_記録'!$C$2:$C$401="3T")*'02_偏向角_記録'!$G$2:$G$401)),2)),"")</f>
        <v/>
      </c>
      <c r="O16" s="18">
        <f>IFERROR(IF(OR($A16="",J16="",J16=0),"",IF(COUNTIFS('02_偏向角_記録'!$D$2:$D$401,$A16,'02_偏向角_記録'!$C$2:$C$401,"3T",'02_偏向角_記録'!$G$2:$G$401,"&gt;=45")&gt;0,"要確認","適合")),"")</f>
        <v/>
      </c>
    </row>
    <row r="17">
      <c r="A17" s="23">
        <f>IF('01_試料マスタ'!A14="","",'01_試料マスタ'!A14)</f>
        <v/>
      </c>
      <c r="B17" s="23">
        <f>IF('01_試料マスタ'!B14="","",'01_試料マスタ'!B14)</f>
        <v/>
      </c>
      <c r="C17" s="23">
        <f>IF('01_試料マスタ'!C14="","",'01_試料マスタ'!C14)</f>
        <v/>
      </c>
      <c r="D17" s="18">
        <f>IF($A17="","",COUNTIFS('02_偏向角_記録'!$D$2:$D$401,$A17,'02_偏向角_記録'!$C$2:$C$401,"1.5T",'02_偏向角_記録'!$G$2:$G$401,"&gt;=0"))</f>
        <v/>
      </c>
      <c r="E17" s="24">
        <f>IFERROR(IF(OR($A17="",D17="",D17=0),"",ROUND(AVERAGEIFS('02_偏向角_記録'!$G$2:$G$401,'02_偏向角_記録'!$D$2:$D$401,$A17,'02_偏向角_記録'!$C$2:$C$401,"1.5T"),2)),"")</f>
        <v/>
      </c>
      <c r="F17" s="24">
        <f>IFERROR(IF(OR($A17="",D17="",D17&lt;2),"",ROUND(SQRT(SUMPRODUCT(('02_偏向角_記録'!$D$2:$D$401=$A17)*('02_偏向角_記録'!$C$2:$C$401="1.5T")*('02_偏向角_記録'!$G$2:$G$401&lt;&gt;"")*('02_偏向角_記録'!$G$2:$G$401-E17)^2)/(D17-1)),2)),"")</f>
        <v/>
      </c>
      <c r="G17" s="24">
        <f>IFERROR(IF(OR($A17="",D17="",D17&lt;2),"",ROUND(TINV(0.05,D17-1)*F17/SQRT(D17),2)),"")</f>
        <v/>
      </c>
      <c r="H17" s="24">
        <f>IFERROR(IF(OR($A17="",D17="",D17=0),"",ROUND(SUMPRODUCT(MAX(('02_偏向角_記録'!$D$2:$D$401=$A17)*('02_偏向角_記録'!$C$2:$C$401="1.5T")*'02_偏向角_記録'!$G$2:$G$401)),2)),"")</f>
        <v/>
      </c>
      <c r="I17" s="18">
        <f>IFERROR(IF(OR($A17="",D17="",D17=0),"",IF(COUNTIFS('02_偏向角_記録'!$D$2:$D$401,$A17,'02_偏向角_記録'!$C$2:$C$401,"1.5T",'02_偏向角_記録'!$G$2:$G$401,"&gt;=45")&gt;0,"要確認","適合")),"")</f>
        <v/>
      </c>
      <c r="J17" s="18">
        <f>IF($A17="","",COUNTIFS('02_偏向角_記録'!$D$2:$D$401,$A17,'02_偏向角_記録'!$C$2:$C$401,"3T",'02_偏向角_記録'!$G$2:$G$401,"&gt;=0"))</f>
        <v/>
      </c>
      <c r="K17" s="24">
        <f>IFERROR(IF(OR($A17="",J17="",J17=0),"",ROUND(AVERAGEIFS('02_偏向角_記録'!$G$2:$G$401,'02_偏向角_記録'!$D$2:$D$401,$A17,'02_偏向角_記録'!$C$2:$C$401,"3T"),2)),"")</f>
        <v/>
      </c>
      <c r="L17" s="24">
        <f>IFERROR(IF(OR($A17="",J17="",J17&lt;2),"",ROUND(SQRT(SUMPRODUCT(('02_偏向角_記録'!$D$2:$D$401=$A17)*('02_偏向角_記録'!$C$2:$C$401="3T")*('02_偏向角_記録'!$G$2:$G$401&lt;&gt;"")*('02_偏向角_記録'!$G$2:$G$401-K17)^2)/(J17-1)),2)),"")</f>
        <v/>
      </c>
      <c r="M17" s="24">
        <f>IFERROR(IF(OR($A17="",J17="",J17&lt;2),"",ROUND(TINV(0.05,J17-1)*L17/SQRT(J17),2)),"")</f>
        <v/>
      </c>
      <c r="N17" s="24">
        <f>IFERROR(IF(OR($A17="",J17="",J17=0),"",ROUND(SUMPRODUCT(MAX(('02_偏向角_記録'!$D$2:$D$401=$A17)*('02_偏向角_記録'!$C$2:$C$401="3T")*'02_偏向角_記録'!$G$2:$G$401)),2)),"")</f>
        <v/>
      </c>
      <c r="O17" s="18">
        <f>IFERROR(IF(OR($A17="",J17="",J17=0),"",IF(COUNTIFS('02_偏向角_記録'!$D$2:$D$401,$A17,'02_偏向角_記録'!$C$2:$C$401,"3T",'02_偏向角_記録'!$G$2:$G$401,"&gt;=45")&gt;0,"要確認","適合")),"")</f>
        <v/>
      </c>
    </row>
    <row r="18">
      <c r="A18" s="23">
        <f>IF('01_試料マスタ'!A15="","",'01_試料マスタ'!A15)</f>
        <v/>
      </c>
      <c r="B18" s="23">
        <f>IF('01_試料マスタ'!B15="","",'01_試料マスタ'!B15)</f>
        <v/>
      </c>
      <c r="C18" s="23">
        <f>IF('01_試料マスタ'!C15="","",'01_試料マスタ'!C15)</f>
        <v/>
      </c>
      <c r="D18" s="18">
        <f>IF($A18="","",COUNTIFS('02_偏向角_記録'!$D$2:$D$401,$A18,'02_偏向角_記録'!$C$2:$C$401,"1.5T",'02_偏向角_記録'!$G$2:$G$401,"&gt;=0"))</f>
        <v/>
      </c>
      <c r="E18" s="24">
        <f>IFERROR(IF(OR($A18="",D18="",D18=0),"",ROUND(AVERAGEIFS('02_偏向角_記録'!$G$2:$G$401,'02_偏向角_記録'!$D$2:$D$401,$A18,'02_偏向角_記録'!$C$2:$C$401,"1.5T"),2)),"")</f>
        <v/>
      </c>
      <c r="F18" s="24">
        <f>IFERROR(IF(OR($A18="",D18="",D18&lt;2),"",ROUND(SQRT(SUMPRODUCT(('02_偏向角_記録'!$D$2:$D$401=$A18)*('02_偏向角_記録'!$C$2:$C$401="1.5T")*('02_偏向角_記録'!$G$2:$G$401&lt;&gt;"")*('02_偏向角_記録'!$G$2:$G$401-E18)^2)/(D18-1)),2)),"")</f>
        <v/>
      </c>
      <c r="G18" s="24">
        <f>IFERROR(IF(OR($A18="",D18="",D18&lt;2),"",ROUND(TINV(0.05,D18-1)*F18/SQRT(D18),2)),"")</f>
        <v/>
      </c>
      <c r="H18" s="24">
        <f>IFERROR(IF(OR($A18="",D18="",D18=0),"",ROUND(SUMPRODUCT(MAX(('02_偏向角_記録'!$D$2:$D$401=$A18)*('02_偏向角_記録'!$C$2:$C$401="1.5T")*'02_偏向角_記録'!$G$2:$G$401)),2)),"")</f>
        <v/>
      </c>
      <c r="I18" s="18">
        <f>IFERROR(IF(OR($A18="",D18="",D18=0),"",IF(COUNTIFS('02_偏向角_記録'!$D$2:$D$401,$A18,'02_偏向角_記録'!$C$2:$C$401,"1.5T",'02_偏向角_記録'!$G$2:$G$401,"&gt;=45")&gt;0,"要確認","適合")),"")</f>
        <v/>
      </c>
      <c r="J18" s="18">
        <f>IF($A18="","",COUNTIFS('02_偏向角_記録'!$D$2:$D$401,$A18,'02_偏向角_記録'!$C$2:$C$401,"3T",'02_偏向角_記録'!$G$2:$G$401,"&gt;=0"))</f>
        <v/>
      </c>
      <c r="K18" s="24">
        <f>IFERROR(IF(OR($A18="",J18="",J18=0),"",ROUND(AVERAGEIFS('02_偏向角_記録'!$G$2:$G$401,'02_偏向角_記録'!$D$2:$D$401,$A18,'02_偏向角_記録'!$C$2:$C$401,"3T"),2)),"")</f>
        <v/>
      </c>
      <c r="L18" s="24">
        <f>IFERROR(IF(OR($A18="",J18="",J18&lt;2),"",ROUND(SQRT(SUMPRODUCT(('02_偏向角_記録'!$D$2:$D$401=$A18)*('02_偏向角_記録'!$C$2:$C$401="3T")*('02_偏向角_記録'!$G$2:$G$401&lt;&gt;"")*('02_偏向角_記録'!$G$2:$G$401-K18)^2)/(J18-1)),2)),"")</f>
        <v/>
      </c>
      <c r="M18" s="24">
        <f>IFERROR(IF(OR($A18="",J18="",J18&lt;2),"",ROUND(TINV(0.05,J18-1)*L18/SQRT(J18),2)),"")</f>
        <v/>
      </c>
      <c r="N18" s="24">
        <f>IFERROR(IF(OR($A18="",J18="",J18=0),"",ROUND(SUMPRODUCT(MAX(('02_偏向角_記録'!$D$2:$D$401=$A18)*('02_偏向角_記録'!$C$2:$C$401="3T")*'02_偏向角_記録'!$G$2:$G$401)),2)),"")</f>
        <v/>
      </c>
      <c r="O18" s="18">
        <f>IFERROR(IF(OR($A18="",J18="",J18=0),"",IF(COUNTIFS('02_偏向角_記録'!$D$2:$D$401,$A18,'02_偏向角_記録'!$C$2:$C$401,"3T",'02_偏向角_記録'!$G$2:$G$401,"&gt;=45")&gt;0,"要確認","適合")),"")</f>
        <v/>
      </c>
    </row>
    <row r="19">
      <c r="A19" s="23">
        <f>IF('01_試料マスタ'!A16="","",'01_試料マスタ'!A16)</f>
        <v/>
      </c>
      <c r="B19" s="23">
        <f>IF('01_試料マスタ'!B16="","",'01_試料マスタ'!B16)</f>
        <v/>
      </c>
      <c r="C19" s="23">
        <f>IF('01_試料マスタ'!C16="","",'01_試料マスタ'!C16)</f>
        <v/>
      </c>
      <c r="D19" s="18">
        <f>IF($A19="","",COUNTIFS('02_偏向角_記録'!$D$2:$D$401,$A19,'02_偏向角_記録'!$C$2:$C$401,"1.5T",'02_偏向角_記録'!$G$2:$G$401,"&gt;=0"))</f>
        <v/>
      </c>
      <c r="E19" s="24">
        <f>IFERROR(IF(OR($A19="",D19="",D19=0),"",ROUND(AVERAGEIFS('02_偏向角_記録'!$G$2:$G$401,'02_偏向角_記録'!$D$2:$D$401,$A19,'02_偏向角_記録'!$C$2:$C$401,"1.5T"),2)),"")</f>
        <v/>
      </c>
      <c r="F19" s="24">
        <f>IFERROR(IF(OR($A19="",D19="",D19&lt;2),"",ROUND(SQRT(SUMPRODUCT(('02_偏向角_記録'!$D$2:$D$401=$A19)*('02_偏向角_記録'!$C$2:$C$401="1.5T")*('02_偏向角_記録'!$G$2:$G$401&lt;&gt;"")*('02_偏向角_記録'!$G$2:$G$401-E19)^2)/(D19-1)),2)),"")</f>
        <v/>
      </c>
      <c r="G19" s="24">
        <f>IFERROR(IF(OR($A19="",D19="",D19&lt;2),"",ROUND(TINV(0.05,D19-1)*F19/SQRT(D19),2)),"")</f>
        <v/>
      </c>
      <c r="H19" s="24">
        <f>IFERROR(IF(OR($A19="",D19="",D19=0),"",ROUND(SUMPRODUCT(MAX(('02_偏向角_記録'!$D$2:$D$401=$A19)*('02_偏向角_記録'!$C$2:$C$401="1.5T")*'02_偏向角_記録'!$G$2:$G$401)),2)),"")</f>
        <v/>
      </c>
      <c r="I19" s="18">
        <f>IFERROR(IF(OR($A19="",D19="",D19=0),"",IF(COUNTIFS('02_偏向角_記録'!$D$2:$D$401,$A19,'02_偏向角_記録'!$C$2:$C$401,"1.5T",'02_偏向角_記録'!$G$2:$G$401,"&gt;=45")&gt;0,"要確認","適合")),"")</f>
        <v/>
      </c>
      <c r="J19" s="18">
        <f>IF($A19="","",COUNTIFS('02_偏向角_記録'!$D$2:$D$401,$A19,'02_偏向角_記録'!$C$2:$C$401,"3T",'02_偏向角_記録'!$G$2:$G$401,"&gt;=0"))</f>
        <v/>
      </c>
      <c r="K19" s="24">
        <f>IFERROR(IF(OR($A19="",J19="",J19=0),"",ROUND(AVERAGEIFS('02_偏向角_記録'!$G$2:$G$401,'02_偏向角_記録'!$D$2:$D$401,$A19,'02_偏向角_記録'!$C$2:$C$401,"3T"),2)),"")</f>
        <v/>
      </c>
      <c r="L19" s="24">
        <f>IFERROR(IF(OR($A19="",J19="",J19&lt;2),"",ROUND(SQRT(SUMPRODUCT(('02_偏向角_記録'!$D$2:$D$401=$A19)*('02_偏向角_記録'!$C$2:$C$401="3T")*('02_偏向角_記録'!$G$2:$G$401&lt;&gt;"")*('02_偏向角_記録'!$G$2:$G$401-K19)^2)/(J19-1)),2)),"")</f>
        <v/>
      </c>
      <c r="M19" s="24">
        <f>IFERROR(IF(OR($A19="",J19="",J19&lt;2),"",ROUND(TINV(0.05,J19-1)*L19/SQRT(J19),2)),"")</f>
        <v/>
      </c>
      <c r="N19" s="24">
        <f>IFERROR(IF(OR($A19="",J19="",J19=0),"",ROUND(SUMPRODUCT(MAX(('02_偏向角_記録'!$D$2:$D$401=$A19)*('02_偏向角_記録'!$C$2:$C$401="3T")*'02_偏向角_記録'!$G$2:$G$401)),2)),"")</f>
        <v/>
      </c>
      <c r="O19" s="18">
        <f>IFERROR(IF(OR($A19="",J19="",J19=0),"",IF(COUNTIFS('02_偏向角_記録'!$D$2:$D$401,$A19,'02_偏向角_記録'!$C$2:$C$401,"3T",'02_偏向角_記録'!$G$2:$G$401,"&gt;=45")&gt;0,"要確認","適合")),"")</f>
        <v/>
      </c>
    </row>
    <row r="20">
      <c r="A20" s="23">
        <f>IF('01_試料マスタ'!A17="","",'01_試料マスタ'!A17)</f>
        <v/>
      </c>
      <c r="B20" s="23">
        <f>IF('01_試料マスタ'!B17="","",'01_試料マスタ'!B17)</f>
        <v/>
      </c>
      <c r="C20" s="23">
        <f>IF('01_試料マスタ'!C17="","",'01_試料マスタ'!C17)</f>
        <v/>
      </c>
      <c r="D20" s="18">
        <f>IF($A20="","",COUNTIFS('02_偏向角_記録'!$D$2:$D$401,$A20,'02_偏向角_記録'!$C$2:$C$401,"1.5T",'02_偏向角_記録'!$G$2:$G$401,"&gt;=0"))</f>
        <v/>
      </c>
      <c r="E20" s="24">
        <f>IFERROR(IF(OR($A20="",D20="",D20=0),"",ROUND(AVERAGEIFS('02_偏向角_記録'!$G$2:$G$401,'02_偏向角_記録'!$D$2:$D$401,$A20,'02_偏向角_記録'!$C$2:$C$401,"1.5T"),2)),"")</f>
        <v/>
      </c>
      <c r="F20" s="24">
        <f>IFERROR(IF(OR($A20="",D20="",D20&lt;2),"",ROUND(SQRT(SUMPRODUCT(('02_偏向角_記録'!$D$2:$D$401=$A20)*('02_偏向角_記録'!$C$2:$C$401="1.5T")*('02_偏向角_記録'!$G$2:$G$401&lt;&gt;"")*('02_偏向角_記録'!$G$2:$G$401-E20)^2)/(D20-1)),2)),"")</f>
        <v/>
      </c>
      <c r="G20" s="24">
        <f>IFERROR(IF(OR($A20="",D20="",D20&lt;2),"",ROUND(TINV(0.05,D20-1)*F20/SQRT(D20),2)),"")</f>
        <v/>
      </c>
      <c r="H20" s="24">
        <f>IFERROR(IF(OR($A20="",D20="",D20=0),"",ROUND(SUMPRODUCT(MAX(('02_偏向角_記録'!$D$2:$D$401=$A20)*('02_偏向角_記録'!$C$2:$C$401="1.5T")*'02_偏向角_記録'!$G$2:$G$401)),2)),"")</f>
        <v/>
      </c>
      <c r="I20" s="18">
        <f>IFERROR(IF(OR($A20="",D20="",D20=0),"",IF(COUNTIFS('02_偏向角_記録'!$D$2:$D$401,$A20,'02_偏向角_記録'!$C$2:$C$401,"1.5T",'02_偏向角_記録'!$G$2:$G$401,"&gt;=45")&gt;0,"要確認","適合")),"")</f>
        <v/>
      </c>
      <c r="J20" s="18">
        <f>IF($A20="","",COUNTIFS('02_偏向角_記録'!$D$2:$D$401,$A20,'02_偏向角_記録'!$C$2:$C$401,"3T",'02_偏向角_記録'!$G$2:$G$401,"&gt;=0"))</f>
        <v/>
      </c>
      <c r="K20" s="24">
        <f>IFERROR(IF(OR($A20="",J20="",J20=0),"",ROUND(AVERAGEIFS('02_偏向角_記録'!$G$2:$G$401,'02_偏向角_記録'!$D$2:$D$401,$A20,'02_偏向角_記録'!$C$2:$C$401,"3T"),2)),"")</f>
        <v/>
      </c>
      <c r="L20" s="24">
        <f>IFERROR(IF(OR($A20="",J20="",J20&lt;2),"",ROUND(SQRT(SUMPRODUCT(('02_偏向角_記録'!$D$2:$D$401=$A20)*('02_偏向角_記録'!$C$2:$C$401="3T")*('02_偏向角_記録'!$G$2:$G$401&lt;&gt;"")*('02_偏向角_記録'!$G$2:$G$401-K20)^2)/(J20-1)),2)),"")</f>
        <v/>
      </c>
      <c r="M20" s="24">
        <f>IFERROR(IF(OR($A20="",J20="",J20&lt;2),"",ROUND(TINV(0.05,J20-1)*L20/SQRT(J20),2)),"")</f>
        <v/>
      </c>
      <c r="N20" s="24">
        <f>IFERROR(IF(OR($A20="",J20="",J20=0),"",ROUND(SUMPRODUCT(MAX(('02_偏向角_記録'!$D$2:$D$401=$A20)*('02_偏向角_記録'!$C$2:$C$401="3T")*'02_偏向角_記録'!$G$2:$G$401)),2)),"")</f>
        <v/>
      </c>
      <c r="O20" s="18">
        <f>IFERROR(IF(OR($A20="",J20="",J20=0),"",IF(COUNTIFS('02_偏向角_記録'!$D$2:$D$401,$A20,'02_偏向角_記録'!$C$2:$C$401,"3T",'02_偏向角_記録'!$G$2:$G$401,"&gt;=45")&gt;0,"要確認","適合")),"")</f>
        <v/>
      </c>
    </row>
    <row r="21">
      <c r="A21" s="23">
        <f>IF('01_試料マスタ'!A18="","",'01_試料マスタ'!A18)</f>
        <v/>
      </c>
      <c r="B21" s="23">
        <f>IF('01_試料マスタ'!B18="","",'01_試料マスタ'!B18)</f>
        <v/>
      </c>
      <c r="C21" s="23">
        <f>IF('01_試料マスタ'!C18="","",'01_試料マスタ'!C18)</f>
        <v/>
      </c>
      <c r="D21" s="18">
        <f>IF($A21="","",COUNTIFS('02_偏向角_記録'!$D$2:$D$401,$A21,'02_偏向角_記録'!$C$2:$C$401,"1.5T",'02_偏向角_記録'!$G$2:$G$401,"&gt;=0"))</f>
        <v/>
      </c>
      <c r="E21" s="24">
        <f>IFERROR(IF(OR($A21="",D21="",D21=0),"",ROUND(AVERAGEIFS('02_偏向角_記録'!$G$2:$G$401,'02_偏向角_記録'!$D$2:$D$401,$A21,'02_偏向角_記録'!$C$2:$C$401,"1.5T"),2)),"")</f>
        <v/>
      </c>
      <c r="F21" s="24">
        <f>IFERROR(IF(OR($A21="",D21="",D21&lt;2),"",ROUND(SQRT(SUMPRODUCT(('02_偏向角_記録'!$D$2:$D$401=$A21)*('02_偏向角_記録'!$C$2:$C$401="1.5T")*('02_偏向角_記録'!$G$2:$G$401&lt;&gt;"")*('02_偏向角_記録'!$G$2:$G$401-E21)^2)/(D21-1)),2)),"")</f>
        <v/>
      </c>
      <c r="G21" s="24">
        <f>IFERROR(IF(OR($A21="",D21="",D21&lt;2),"",ROUND(TINV(0.05,D21-1)*F21/SQRT(D21),2)),"")</f>
        <v/>
      </c>
      <c r="H21" s="24">
        <f>IFERROR(IF(OR($A21="",D21="",D21=0),"",ROUND(SUMPRODUCT(MAX(('02_偏向角_記録'!$D$2:$D$401=$A21)*('02_偏向角_記録'!$C$2:$C$401="1.5T")*'02_偏向角_記録'!$G$2:$G$401)),2)),"")</f>
        <v/>
      </c>
      <c r="I21" s="18">
        <f>IFERROR(IF(OR($A21="",D21="",D21=0),"",IF(COUNTIFS('02_偏向角_記録'!$D$2:$D$401,$A21,'02_偏向角_記録'!$C$2:$C$401,"1.5T",'02_偏向角_記録'!$G$2:$G$401,"&gt;=45")&gt;0,"要確認","適合")),"")</f>
        <v/>
      </c>
      <c r="J21" s="18">
        <f>IF($A21="","",COUNTIFS('02_偏向角_記録'!$D$2:$D$401,$A21,'02_偏向角_記録'!$C$2:$C$401,"3T",'02_偏向角_記録'!$G$2:$G$401,"&gt;=0"))</f>
        <v/>
      </c>
      <c r="K21" s="24">
        <f>IFERROR(IF(OR($A21="",J21="",J21=0),"",ROUND(AVERAGEIFS('02_偏向角_記録'!$G$2:$G$401,'02_偏向角_記録'!$D$2:$D$401,$A21,'02_偏向角_記録'!$C$2:$C$401,"3T"),2)),"")</f>
        <v/>
      </c>
      <c r="L21" s="24">
        <f>IFERROR(IF(OR($A21="",J21="",J21&lt;2),"",ROUND(SQRT(SUMPRODUCT(('02_偏向角_記録'!$D$2:$D$401=$A21)*('02_偏向角_記録'!$C$2:$C$401="3T")*('02_偏向角_記録'!$G$2:$G$401&lt;&gt;"")*('02_偏向角_記録'!$G$2:$G$401-K21)^2)/(J21-1)),2)),"")</f>
        <v/>
      </c>
      <c r="M21" s="24">
        <f>IFERROR(IF(OR($A21="",J21="",J21&lt;2),"",ROUND(TINV(0.05,J21-1)*L21/SQRT(J21),2)),"")</f>
        <v/>
      </c>
      <c r="N21" s="24">
        <f>IFERROR(IF(OR($A21="",J21="",J21=0),"",ROUND(SUMPRODUCT(MAX(('02_偏向角_記録'!$D$2:$D$401=$A21)*('02_偏向角_記録'!$C$2:$C$401="3T")*'02_偏向角_記録'!$G$2:$G$401)),2)),"")</f>
        <v/>
      </c>
      <c r="O21" s="18">
        <f>IFERROR(IF(OR($A21="",J21="",J21=0),"",IF(COUNTIFS('02_偏向角_記録'!$D$2:$D$401,$A21,'02_偏向角_記録'!$C$2:$C$401,"3T",'02_偏向角_記録'!$G$2:$G$401,"&gt;=45")&gt;0,"要確認","適合")),"")</f>
        <v/>
      </c>
    </row>
    <row r="22">
      <c r="A22" s="23">
        <f>IF('01_試料マスタ'!A19="","",'01_試料マスタ'!A19)</f>
        <v/>
      </c>
      <c r="B22" s="23">
        <f>IF('01_試料マスタ'!B19="","",'01_試料マスタ'!B19)</f>
        <v/>
      </c>
      <c r="C22" s="23">
        <f>IF('01_試料マスタ'!C19="","",'01_試料マスタ'!C19)</f>
        <v/>
      </c>
      <c r="D22" s="18">
        <f>IF($A22="","",COUNTIFS('02_偏向角_記録'!$D$2:$D$401,$A22,'02_偏向角_記録'!$C$2:$C$401,"1.5T",'02_偏向角_記録'!$G$2:$G$401,"&gt;=0"))</f>
        <v/>
      </c>
      <c r="E22" s="24">
        <f>IFERROR(IF(OR($A22="",D22="",D22=0),"",ROUND(AVERAGEIFS('02_偏向角_記録'!$G$2:$G$401,'02_偏向角_記録'!$D$2:$D$401,$A22,'02_偏向角_記録'!$C$2:$C$401,"1.5T"),2)),"")</f>
        <v/>
      </c>
      <c r="F22" s="24">
        <f>IFERROR(IF(OR($A22="",D22="",D22&lt;2),"",ROUND(SQRT(SUMPRODUCT(('02_偏向角_記録'!$D$2:$D$401=$A22)*('02_偏向角_記録'!$C$2:$C$401="1.5T")*('02_偏向角_記録'!$G$2:$G$401&lt;&gt;"")*('02_偏向角_記録'!$G$2:$G$401-E22)^2)/(D22-1)),2)),"")</f>
        <v/>
      </c>
      <c r="G22" s="24">
        <f>IFERROR(IF(OR($A22="",D22="",D22&lt;2),"",ROUND(TINV(0.05,D22-1)*F22/SQRT(D22),2)),"")</f>
        <v/>
      </c>
      <c r="H22" s="24">
        <f>IFERROR(IF(OR($A22="",D22="",D22=0),"",ROUND(SUMPRODUCT(MAX(('02_偏向角_記録'!$D$2:$D$401=$A22)*('02_偏向角_記録'!$C$2:$C$401="1.5T")*'02_偏向角_記録'!$G$2:$G$401)),2)),"")</f>
        <v/>
      </c>
      <c r="I22" s="18">
        <f>IFERROR(IF(OR($A22="",D22="",D22=0),"",IF(COUNTIFS('02_偏向角_記録'!$D$2:$D$401,$A22,'02_偏向角_記録'!$C$2:$C$401,"1.5T",'02_偏向角_記録'!$G$2:$G$401,"&gt;=45")&gt;0,"要確認","適合")),"")</f>
        <v/>
      </c>
      <c r="J22" s="18">
        <f>IF($A22="","",COUNTIFS('02_偏向角_記録'!$D$2:$D$401,$A22,'02_偏向角_記録'!$C$2:$C$401,"3T",'02_偏向角_記録'!$G$2:$G$401,"&gt;=0"))</f>
        <v/>
      </c>
      <c r="K22" s="24">
        <f>IFERROR(IF(OR($A22="",J22="",J22=0),"",ROUND(AVERAGEIFS('02_偏向角_記録'!$G$2:$G$401,'02_偏向角_記録'!$D$2:$D$401,$A22,'02_偏向角_記録'!$C$2:$C$401,"3T"),2)),"")</f>
        <v/>
      </c>
      <c r="L22" s="24">
        <f>IFERROR(IF(OR($A22="",J22="",J22&lt;2),"",ROUND(SQRT(SUMPRODUCT(('02_偏向角_記録'!$D$2:$D$401=$A22)*('02_偏向角_記録'!$C$2:$C$401="3T")*('02_偏向角_記録'!$G$2:$G$401&lt;&gt;"")*('02_偏向角_記録'!$G$2:$G$401-K22)^2)/(J22-1)),2)),"")</f>
        <v/>
      </c>
      <c r="M22" s="24">
        <f>IFERROR(IF(OR($A22="",J22="",J22&lt;2),"",ROUND(TINV(0.05,J22-1)*L22/SQRT(J22),2)),"")</f>
        <v/>
      </c>
      <c r="N22" s="24">
        <f>IFERROR(IF(OR($A22="",J22="",J22=0),"",ROUND(SUMPRODUCT(MAX(('02_偏向角_記録'!$D$2:$D$401=$A22)*('02_偏向角_記録'!$C$2:$C$401="3T")*'02_偏向角_記録'!$G$2:$G$401)),2)),"")</f>
        <v/>
      </c>
      <c r="O22" s="18">
        <f>IFERROR(IF(OR($A22="",J22="",J22=0),"",IF(COUNTIFS('02_偏向角_記録'!$D$2:$D$401,$A22,'02_偏向角_記録'!$C$2:$C$401,"3T",'02_偏向角_記録'!$G$2:$G$401,"&gt;=45")&gt;0,"要確認","適合")),"")</f>
        <v/>
      </c>
    </row>
    <row r="23">
      <c r="A23" s="23">
        <f>IF('01_試料マスタ'!A20="","",'01_試料マスタ'!A20)</f>
        <v/>
      </c>
      <c r="B23" s="23">
        <f>IF('01_試料マスタ'!B20="","",'01_試料マスタ'!B20)</f>
        <v/>
      </c>
      <c r="C23" s="23">
        <f>IF('01_試料マスタ'!C20="","",'01_試料マスタ'!C20)</f>
        <v/>
      </c>
      <c r="D23" s="18">
        <f>IF($A23="","",COUNTIFS('02_偏向角_記録'!$D$2:$D$401,$A23,'02_偏向角_記録'!$C$2:$C$401,"1.5T",'02_偏向角_記録'!$G$2:$G$401,"&gt;=0"))</f>
        <v/>
      </c>
      <c r="E23" s="24">
        <f>IFERROR(IF(OR($A23="",D23="",D23=0),"",ROUND(AVERAGEIFS('02_偏向角_記録'!$G$2:$G$401,'02_偏向角_記録'!$D$2:$D$401,$A23,'02_偏向角_記録'!$C$2:$C$401,"1.5T"),2)),"")</f>
        <v/>
      </c>
      <c r="F23" s="24">
        <f>IFERROR(IF(OR($A23="",D23="",D23&lt;2),"",ROUND(SQRT(SUMPRODUCT(('02_偏向角_記録'!$D$2:$D$401=$A23)*('02_偏向角_記録'!$C$2:$C$401="1.5T")*('02_偏向角_記録'!$G$2:$G$401&lt;&gt;"")*('02_偏向角_記録'!$G$2:$G$401-E23)^2)/(D23-1)),2)),"")</f>
        <v/>
      </c>
      <c r="G23" s="24">
        <f>IFERROR(IF(OR($A23="",D23="",D23&lt;2),"",ROUND(TINV(0.05,D23-1)*F23/SQRT(D23),2)),"")</f>
        <v/>
      </c>
      <c r="H23" s="24">
        <f>IFERROR(IF(OR($A23="",D23="",D23=0),"",ROUND(SUMPRODUCT(MAX(('02_偏向角_記録'!$D$2:$D$401=$A23)*('02_偏向角_記録'!$C$2:$C$401="1.5T")*'02_偏向角_記録'!$G$2:$G$401)),2)),"")</f>
        <v/>
      </c>
      <c r="I23" s="18">
        <f>IFERROR(IF(OR($A23="",D23="",D23=0),"",IF(COUNTIFS('02_偏向角_記録'!$D$2:$D$401,$A23,'02_偏向角_記録'!$C$2:$C$401,"1.5T",'02_偏向角_記録'!$G$2:$G$401,"&gt;=45")&gt;0,"要確認","適合")),"")</f>
        <v/>
      </c>
      <c r="J23" s="18">
        <f>IF($A23="","",COUNTIFS('02_偏向角_記録'!$D$2:$D$401,$A23,'02_偏向角_記録'!$C$2:$C$401,"3T",'02_偏向角_記録'!$G$2:$G$401,"&gt;=0"))</f>
        <v/>
      </c>
      <c r="K23" s="24">
        <f>IFERROR(IF(OR($A23="",J23="",J23=0),"",ROUND(AVERAGEIFS('02_偏向角_記録'!$G$2:$G$401,'02_偏向角_記録'!$D$2:$D$401,$A23,'02_偏向角_記録'!$C$2:$C$401,"3T"),2)),"")</f>
        <v/>
      </c>
      <c r="L23" s="24">
        <f>IFERROR(IF(OR($A23="",J23="",J23&lt;2),"",ROUND(SQRT(SUMPRODUCT(('02_偏向角_記録'!$D$2:$D$401=$A23)*('02_偏向角_記録'!$C$2:$C$401="3T")*('02_偏向角_記録'!$G$2:$G$401&lt;&gt;"")*('02_偏向角_記録'!$G$2:$G$401-K23)^2)/(J23-1)),2)),"")</f>
        <v/>
      </c>
      <c r="M23" s="24">
        <f>IFERROR(IF(OR($A23="",J23="",J23&lt;2),"",ROUND(TINV(0.05,J23-1)*L23/SQRT(J23),2)),"")</f>
        <v/>
      </c>
      <c r="N23" s="24">
        <f>IFERROR(IF(OR($A23="",J23="",J23=0),"",ROUND(SUMPRODUCT(MAX(('02_偏向角_記録'!$D$2:$D$401=$A23)*('02_偏向角_記録'!$C$2:$C$401="3T")*'02_偏向角_記録'!$G$2:$G$401)),2)),"")</f>
        <v/>
      </c>
      <c r="O23" s="18">
        <f>IFERROR(IF(OR($A23="",J23="",J23=0),"",IF(COUNTIFS('02_偏向角_記録'!$D$2:$D$401,$A23,'02_偏向角_記録'!$C$2:$C$401,"3T",'02_偏向角_記録'!$G$2:$G$401,"&gt;=45")&gt;0,"要確認","適合")),"")</f>
        <v/>
      </c>
    </row>
    <row r="24">
      <c r="A24" s="23">
        <f>IF('01_試料マスタ'!A21="","",'01_試料マスタ'!A21)</f>
        <v/>
      </c>
      <c r="B24" s="23">
        <f>IF('01_試料マスタ'!B21="","",'01_試料マスタ'!B21)</f>
        <v/>
      </c>
      <c r="C24" s="23">
        <f>IF('01_試料マスタ'!C21="","",'01_試料マスタ'!C21)</f>
        <v/>
      </c>
      <c r="D24" s="18">
        <f>IF($A24="","",COUNTIFS('02_偏向角_記録'!$D$2:$D$401,$A24,'02_偏向角_記録'!$C$2:$C$401,"1.5T",'02_偏向角_記録'!$G$2:$G$401,"&gt;=0"))</f>
        <v/>
      </c>
      <c r="E24" s="24">
        <f>IFERROR(IF(OR($A24="",D24="",D24=0),"",ROUND(AVERAGEIFS('02_偏向角_記録'!$G$2:$G$401,'02_偏向角_記録'!$D$2:$D$401,$A24,'02_偏向角_記録'!$C$2:$C$401,"1.5T"),2)),"")</f>
        <v/>
      </c>
      <c r="F24" s="24">
        <f>IFERROR(IF(OR($A24="",D24="",D24&lt;2),"",ROUND(SQRT(SUMPRODUCT(('02_偏向角_記録'!$D$2:$D$401=$A24)*('02_偏向角_記録'!$C$2:$C$401="1.5T")*('02_偏向角_記録'!$G$2:$G$401&lt;&gt;"")*('02_偏向角_記録'!$G$2:$G$401-E24)^2)/(D24-1)),2)),"")</f>
        <v/>
      </c>
      <c r="G24" s="24">
        <f>IFERROR(IF(OR($A24="",D24="",D24&lt;2),"",ROUND(TINV(0.05,D24-1)*F24/SQRT(D24),2)),"")</f>
        <v/>
      </c>
      <c r="H24" s="24">
        <f>IFERROR(IF(OR($A24="",D24="",D24=0),"",ROUND(SUMPRODUCT(MAX(('02_偏向角_記録'!$D$2:$D$401=$A24)*('02_偏向角_記録'!$C$2:$C$401="1.5T")*'02_偏向角_記録'!$G$2:$G$401)),2)),"")</f>
        <v/>
      </c>
      <c r="I24" s="18">
        <f>IFERROR(IF(OR($A24="",D24="",D24=0),"",IF(COUNTIFS('02_偏向角_記録'!$D$2:$D$401,$A24,'02_偏向角_記録'!$C$2:$C$401,"1.5T",'02_偏向角_記録'!$G$2:$G$401,"&gt;=45")&gt;0,"要確認","適合")),"")</f>
        <v/>
      </c>
      <c r="J24" s="18">
        <f>IF($A24="","",COUNTIFS('02_偏向角_記録'!$D$2:$D$401,$A24,'02_偏向角_記録'!$C$2:$C$401,"3T",'02_偏向角_記録'!$G$2:$G$401,"&gt;=0"))</f>
        <v/>
      </c>
      <c r="K24" s="24">
        <f>IFERROR(IF(OR($A24="",J24="",J24=0),"",ROUND(AVERAGEIFS('02_偏向角_記録'!$G$2:$G$401,'02_偏向角_記録'!$D$2:$D$401,$A24,'02_偏向角_記録'!$C$2:$C$401,"3T"),2)),"")</f>
        <v/>
      </c>
      <c r="L24" s="24">
        <f>IFERROR(IF(OR($A24="",J24="",J24&lt;2),"",ROUND(SQRT(SUMPRODUCT(('02_偏向角_記録'!$D$2:$D$401=$A24)*('02_偏向角_記録'!$C$2:$C$401="3T")*('02_偏向角_記録'!$G$2:$G$401&lt;&gt;"")*('02_偏向角_記録'!$G$2:$G$401-K24)^2)/(J24-1)),2)),"")</f>
        <v/>
      </c>
      <c r="M24" s="24">
        <f>IFERROR(IF(OR($A24="",J24="",J24&lt;2),"",ROUND(TINV(0.05,J24-1)*L24/SQRT(J24),2)),"")</f>
        <v/>
      </c>
      <c r="N24" s="24">
        <f>IFERROR(IF(OR($A24="",J24="",J24=0),"",ROUND(SUMPRODUCT(MAX(('02_偏向角_記録'!$D$2:$D$401=$A24)*('02_偏向角_記録'!$C$2:$C$401="3T")*'02_偏向角_記録'!$G$2:$G$401)),2)),"")</f>
        <v/>
      </c>
      <c r="O24" s="18">
        <f>IFERROR(IF(OR($A24="",J24="",J24=0),"",IF(COUNTIFS('02_偏向角_記録'!$D$2:$D$401,$A24,'02_偏向角_記録'!$C$2:$C$401,"3T",'02_偏向角_記録'!$G$2:$G$401,"&gt;=45")&gt;0,"要確認","適合")),"")</f>
        <v/>
      </c>
    </row>
    <row r="25">
      <c r="A25" s="23">
        <f>IF('01_試料マスタ'!A22="","",'01_試料マスタ'!A22)</f>
        <v/>
      </c>
      <c r="B25" s="23">
        <f>IF('01_試料マスタ'!B22="","",'01_試料マスタ'!B22)</f>
        <v/>
      </c>
      <c r="C25" s="23">
        <f>IF('01_試料マスタ'!C22="","",'01_試料マスタ'!C22)</f>
        <v/>
      </c>
      <c r="D25" s="18">
        <f>IF($A25="","",COUNTIFS('02_偏向角_記録'!$D$2:$D$401,$A25,'02_偏向角_記録'!$C$2:$C$401,"1.5T",'02_偏向角_記録'!$G$2:$G$401,"&gt;=0"))</f>
        <v/>
      </c>
      <c r="E25" s="24">
        <f>IFERROR(IF(OR($A25="",D25="",D25=0),"",ROUND(AVERAGEIFS('02_偏向角_記録'!$G$2:$G$401,'02_偏向角_記録'!$D$2:$D$401,$A25,'02_偏向角_記録'!$C$2:$C$401,"1.5T"),2)),"")</f>
        <v/>
      </c>
      <c r="F25" s="24">
        <f>IFERROR(IF(OR($A25="",D25="",D25&lt;2),"",ROUND(SQRT(SUMPRODUCT(('02_偏向角_記録'!$D$2:$D$401=$A25)*('02_偏向角_記録'!$C$2:$C$401="1.5T")*('02_偏向角_記録'!$G$2:$G$401&lt;&gt;"")*('02_偏向角_記録'!$G$2:$G$401-E25)^2)/(D25-1)),2)),"")</f>
        <v/>
      </c>
      <c r="G25" s="24">
        <f>IFERROR(IF(OR($A25="",D25="",D25&lt;2),"",ROUND(TINV(0.05,D25-1)*F25/SQRT(D25),2)),"")</f>
        <v/>
      </c>
      <c r="H25" s="24">
        <f>IFERROR(IF(OR($A25="",D25="",D25=0),"",ROUND(SUMPRODUCT(MAX(('02_偏向角_記録'!$D$2:$D$401=$A25)*('02_偏向角_記録'!$C$2:$C$401="1.5T")*'02_偏向角_記録'!$G$2:$G$401)),2)),"")</f>
        <v/>
      </c>
      <c r="I25" s="18">
        <f>IFERROR(IF(OR($A25="",D25="",D25=0),"",IF(COUNTIFS('02_偏向角_記録'!$D$2:$D$401,$A25,'02_偏向角_記録'!$C$2:$C$401,"1.5T",'02_偏向角_記録'!$G$2:$G$401,"&gt;=45")&gt;0,"要確認","適合")),"")</f>
        <v/>
      </c>
      <c r="J25" s="18">
        <f>IF($A25="","",COUNTIFS('02_偏向角_記録'!$D$2:$D$401,$A25,'02_偏向角_記録'!$C$2:$C$401,"3T",'02_偏向角_記録'!$G$2:$G$401,"&gt;=0"))</f>
        <v/>
      </c>
      <c r="K25" s="24">
        <f>IFERROR(IF(OR($A25="",J25="",J25=0),"",ROUND(AVERAGEIFS('02_偏向角_記録'!$G$2:$G$401,'02_偏向角_記録'!$D$2:$D$401,$A25,'02_偏向角_記録'!$C$2:$C$401,"3T"),2)),"")</f>
        <v/>
      </c>
      <c r="L25" s="24">
        <f>IFERROR(IF(OR($A25="",J25="",J25&lt;2),"",ROUND(SQRT(SUMPRODUCT(('02_偏向角_記録'!$D$2:$D$401=$A25)*('02_偏向角_記録'!$C$2:$C$401="3T")*('02_偏向角_記録'!$G$2:$G$401&lt;&gt;"")*('02_偏向角_記録'!$G$2:$G$401-K25)^2)/(J25-1)),2)),"")</f>
        <v/>
      </c>
      <c r="M25" s="24">
        <f>IFERROR(IF(OR($A25="",J25="",J25&lt;2),"",ROUND(TINV(0.05,J25-1)*L25/SQRT(J25),2)),"")</f>
        <v/>
      </c>
      <c r="N25" s="24">
        <f>IFERROR(IF(OR($A25="",J25="",J25=0),"",ROUND(SUMPRODUCT(MAX(('02_偏向角_記録'!$D$2:$D$401=$A25)*('02_偏向角_記録'!$C$2:$C$401="3T")*'02_偏向角_記録'!$G$2:$G$401)),2)),"")</f>
        <v/>
      </c>
      <c r="O25" s="18">
        <f>IFERROR(IF(OR($A25="",J25="",J25=0),"",IF(COUNTIFS('02_偏向角_記録'!$D$2:$D$401,$A25,'02_偏向角_記録'!$C$2:$C$401,"3T",'02_偏向角_記録'!$G$2:$G$401,"&gt;=45")&gt;0,"要確認","適合")),"")</f>
        <v/>
      </c>
    </row>
    <row r="26">
      <c r="A26" s="23">
        <f>IF('01_試料マスタ'!A23="","",'01_試料マスタ'!A23)</f>
        <v/>
      </c>
      <c r="B26" s="23">
        <f>IF('01_試料マスタ'!B23="","",'01_試料マスタ'!B23)</f>
        <v/>
      </c>
      <c r="C26" s="23">
        <f>IF('01_試料マスタ'!C23="","",'01_試料マスタ'!C23)</f>
        <v/>
      </c>
      <c r="D26" s="18">
        <f>IF($A26="","",COUNTIFS('02_偏向角_記録'!$D$2:$D$401,$A26,'02_偏向角_記録'!$C$2:$C$401,"1.5T",'02_偏向角_記録'!$G$2:$G$401,"&gt;=0"))</f>
        <v/>
      </c>
      <c r="E26" s="24">
        <f>IFERROR(IF(OR($A26="",D26="",D26=0),"",ROUND(AVERAGEIFS('02_偏向角_記録'!$G$2:$G$401,'02_偏向角_記録'!$D$2:$D$401,$A26,'02_偏向角_記録'!$C$2:$C$401,"1.5T"),2)),"")</f>
        <v/>
      </c>
      <c r="F26" s="24">
        <f>IFERROR(IF(OR($A26="",D26="",D26&lt;2),"",ROUND(SQRT(SUMPRODUCT(('02_偏向角_記録'!$D$2:$D$401=$A26)*('02_偏向角_記録'!$C$2:$C$401="1.5T")*('02_偏向角_記録'!$G$2:$G$401&lt;&gt;"")*('02_偏向角_記録'!$G$2:$G$401-E26)^2)/(D26-1)),2)),"")</f>
        <v/>
      </c>
      <c r="G26" s="24">
        <f>IFERROR(IF(OR($A26="",D26="",D26&lt;2),"",ROUND(TINV(0.05,D26-1)*F26/SQRT(D26),2)),"")</f>
        <v/>
      </c>
      <c r="H26" s="24">
        <f>IFERROR(IF(OR($A26="",D26="",D26=0),"",ROUND(SUMPRODUCT(MAX(('02_偏向角_記録'!$D$2:$D$401=$A26)*('02_偏向角_記録'!$C$2:$C$401="1.5T")*'02_偏向角_記録'!$G$2:$G$401)),2)),"")</f>
        <v/>
      </c>
      <c r="I26" s="18">
        <f>IFERROR(IF(OR($A26="",D26="",D26=0),"",IF(COUNTIFS('02_偏向角_記録'!$D$2:$D$401,$A26,'02_偏向角_記録'!$C$2:$C$401,"1.5T",'02_偏向角_記録'!$G$2:$G$401,"&gt;=45")&gt;0,"要確認","適合")),"")</f>
        <v/>
      </c>
      <c r="J26" s="18">
        <f>IF($A26="","",COUNTIFS('02_偏向角_記録'!$D$2:$D$401,$A26,'02_偏向角_記録'!$C$2:$C$401,"3T",'02_偏向角_記録'!$G$2:$G$401,"&gt;=0"))</f>
        <v/>
      </c>
      <c r="K26" s="24">
        <f>IFERROR(IF(OR($A26="",J26="",J26=0),"",ROUND(AVERAGEIFS('02_偏向角_記録'!$G$2:$G$401,'02_偏向角_記録'!$D$2:$D$401,$A26,'02_偏向角_記録'!$C$2:$C$401,"3T"),2)),"")</f>
        <v/>
      </c>
      <c r="L26" s="24">
        <f>IFERROR(IF(OR($A26="",J26="",J26&lt;2),"",ROUND(SQRT(SUMPRODUCT(('02_偏向角_記録'!$D$2:$D$401=$A26)*('02_偏向角_記録'!$C$2:$C$401="3T")*('02_偏向角_記録'!$G$2:$G$401&lt;&gt;"")*('02_偏向角_記録'!$G$2:$G$401-K26)^2)/(J26-1)),2)),"")</f>
        <v/>
      </c>
      <c r="M26" s="24">
        <f>IFERROR(IF(OR($A26="",J26="",J26&lt;2),"",ROUND(TINV(0.05,J26-1)*L26/SQRT(J26),2)),"")</f>
        <v/>
      </c>
      <c r="N26" s="24">
        <f>IFERROR(IF(OR($A26="",J26="",J26=0),"",ROUND(SUMPRODUCT(MAX(('02_偏向角_記録'!$D$2:$D$401=$A26)*('02_偏向角_記録'!$C$2:$C$401="3T")*'02_偏向角_記録'!$G$2:$G$401)),2)),"")</f>
        <v/>
      </c>
      <c r="O26" s="18">
        <f>IFERROR(IF(OR($A26="",J26="",J26=0),"",IF(COUNTIFS('02_偏向角_記録'!$D$2:$D$401,$A26,'02_偏向角_記録'!$C$2:$C$401,"3T",'02_偏向角_記録'!$G$2:$G$401,"&gt;=45")&gt;0,"要確認","適合")),"")</f>
        <v/>
      </c>
    </row>
    <row r="27">
      <c r="A27" s="23">
        <f>IF('01_試料マスタ'!A24="","",'01_試料マスタ'!A24)</f>
        <v/>
      </c>
      <c r="B27" s="23">
        <f>IF('01_試料マスタ'!B24="","",'01_試料マスタ'!B24)</f>
        <v/>
      </c>
      <c r="C27" s="23">
        <f>IF('01_試料マスタ'!C24="","",'01_試料マスタ'!C24)</f>
        <v/>
      </c>
      <c r="D27" s="18">
        <f>IF($A27="","",COUNTIFS('02_偏向角_記録'!$D$2:$D$401,$A27,'02_偏向角_記録'!$C$2:$C$401,"1.5T",'02_偏向角_記録'!$G$2:$G$401,"&gt;=0"))</f>
        <v/>
      </c>
      <c r="E27" s="24">
        <f>IFERROR(IF(OR($A27="",D27="",D27=0),"",ROUND(AVERAGEIFS('02_偏向角_記録'!$G$2:$G$401,'02_偏向角_記録'!$D$2:$D$401,$A27,'02_偏向角_記録'!$C$2:$C$401,"1.5T"),2)),"")</f>
        <v/>
      </c>
      <c r="F27" s="24">
        <f>IFERROR(IF(OR($A27="",D27="",D27&lt;2),"",ROUND(SQRT(SUMPRODUCT(('02_偏向角_記録'!$D$2:$D$401=$A27)*('02_偏向角_記録'!$C$2:$C$401="1.5T")*('02_偏向角_記録'!$G$2:$G$401&lt;&gt;"")*('02_偏向角_記録'!$G$2:$G$401-E27)^2)/(D27-1)),2)),"")</f>
        <v/>
      </c>
      <c r="G27" s="24">
        <f>IFERROR(IF(OR($A27="",D27="",D27&lt;2),"",ROUND(TINV(0.05,D27-1)*F27/SQRT(D27),2)),"")</f>
        <v/>
      </c>
      <c r="H27" s="24">
        <f>IFERROR(IF(OR($A27="",D27="",D27=0),"",ROUND(SUMPRODUCT(MAX(('02_偏向角_記録'!$D$2:$D$401=$A27)*('02_偏向角_記録'!$C$2:$C$401="1.5T")*'02_偏向角_記録'!$G$2:$G$401)),2)),"")</f>
        <v/>
      </c>
      <c r="I27" s="18">
        <f>IFERROR(IF(OR($A27="",D27="",D27=0),"",IF(COUNTIFS('02_偏向角_記録'!$D$2:$D$401,$A27,'02_偏向角_記録'!$C$2:$C$401,"1.5T",'02_偏向角_記録'!$G$2:$G$401,"&gt;=45")&gt;0,"要確認","適合")),"")</f>
        <v/>
      </c>
      <c r="J27" s="18">
        <f>IF($A27="","",COUNTIFS('02_偏向角_記録'!$D$2:$D$401,$A27,'02_偏向角_記録'!$C$2:$C$401,"3T",'02_偏向角_記録'!$G$2:$G$401,"&gt;=0"))</f>
        <v/>
      </c>
      <c r="K27" s="24">
        <f>IFERROR(IF(OR($A27="",J27="",J27=0),"",ROUND(AVERAGEIFS('02_偏向角_記録'!$G$2:$G$401,'02_偏向角_記録'!$D$2:$D$401,$A27,'02_偏向角_記録'!$C$2:$C$401,"3T"),2)),"")</f>
        <v/>
      </c>
      <c r="L27" s="24">
        <f>IFERROR(IF(OR($A27="",J27="",J27&lt;2),"",ROUND(SQRT(SUMPRODUCT(('02_偏向角_記録'!$D$2:$D$401=$A27)*('02_偏向角_記録'!$C$2:$C$401="3T")*('02_偏向角_記録'!$G$2:$G$401&lt;&gt;"")*('02_偏向角_記録'!$G$2:$G$401-K27)^2)/(J27-1)),2)),"")</f>
        <v/>
      </c>
      <c r="M27" s="24">
        <f>IFERROR(IF(OR($A27="",J27="",J27&lt;2),"",ROUND(TINV(0.05,J27-1)*L27/SQRT(J27),2)),"")</f>
        <v/>
      </c>
      <c r="N27" s="24">
        <f>IFERROR(IF(OR($A27="",J27="",J27=0),"",ROUND(SUMPRODUCT(MAX(('02_偏向角_記録'!$D$2:$D$401=$A27)*('02_偏向角_記録'!$C$2:$C$401="3T")*'02_偏向角_記録'!$G$2:$G$401)),2)),"")</f>
        <v/>
      </c>
      <c r="O27" s="18">
        <f>IFERROR(IF(OR($A27="",J27="",J27=0),"",IF(COUNTIFS('02_偏向角_記録'!$D$2:$D$401,$A27,'02_偏向角_記録'!$C$2:$C$401,"3T",'02_偏向角_記録'!$G$2:$G$401,"&gt;=45")&gt;0,"要確認","適合")),"")</f>
        <v/>
      </c>
    </row>
    <row r="28">
      <c r="A28" s="23">
        <f>IF('01_試料マスタ'!A25="","",'01_試料マスタ'!A25)</f>
        <v/>
      </c>
      <c r="B28" s="23">
        <f>IF('01_試料マスタ'!B25="","",'01_試料マスタ'!B25)</f>
        <v/>
      </c>
      <c r="C28" s="23">
        <f>IF('01_試料マスタ'!C25="","",'01_試料マスタ'!C25)</f>
        <v/>
      </c>
      <c r="D28" s="18">
        <f>IF($A28="","",COUNTIFS('02_偏向角_記録'!$D$2:$D$401,$A28,'02_偏向角_記録'!$C$2:$C$401,"1.5T",'02_偏向角_記録'!$G$2:$G$401,"&gt;=0"))</f>
        <v/>
      </c>
      <c r="E28" s="24">
        <f>IFERROR(IF(OR($A28="",D28="",D28=0),"",ROUND(AVERAGEIFS('02_偏向角_記録'!$G$2:$G$401,'02_偏向角_記録'!$D$2:$D$401,$A28,'02_偏向角_記録'!$C$2:$C$401,"1.5T"),2)),"")</f>
        <v/>
      </c>
      <c r="F28" s="24">
        <f>IFERROR(IF(OR($A28="",D28="",D28&lt;2),"",ROUND(SQRT(SUMPRODUCT(('02_偏向角_記録'!$D$2:$D$401=$A28)*('02_偏向角_記録'!$C$2:$C$401="1.5T")*('02_偏向角_記録'!$G$2:$G$401&lt;&gt;"")*('02_偏向角_記録'!$G$2:$G$401-E28)^2)/(D28-1)),2)),"")</f>
        <v/>
      </c>
      <c r="G28" s="24">
        <f>IFERROR(IF(OR($A28="",D28="",D28&lt;2),"",ROUND(TINV(0.05,D28-1)*F28/SQRT(D28),2)),"")</f>
        <v/>
      </c>
      <c r="H28" s="24">
        <f>IFERROR(IF(OR($A28="",D28="",D28=0),"",ROUND(SUMPRODUCT(MAX(('02_偏向角_記録'!$D$2:$D$401=$A28)*('02_偏向角_記録'!$C$2:$C$401="1.5T")*'02_偏向角_記録'!$G$2:$G$401)),2)),"")</f>
        <v/>
      </c>
      <c r="I28" s="18">
        <f>IFERROR(IF(OR($A28="",D28="",D28=0),"",IF(COUNTIFS('02_偏向角_記録'!$D$2:$D$401,$A28,'02_偏向角_記録'!$C$2:$C$401,"1.5T",'02_偏向角_記録'!$G$2:$G$401,"&gt;=45")&gt;0,"要確認","適合")),"")</f>
        <v/>
      </c>
      <c r="J28" s="18">
        <f>IF($A28="","",COUNTIFS('02_偏向角_記録'!$D$2:$D$401,$A28,'02_偏向角_記録'!$C$2:$C$401,"3T",'02_偏向角_記録'!$G$2:$G$401,"&gt;=0"))</f>
        <v/>
      </c>
      <c r="K28" s="24">
        <f>IFERROR(IF(OR($A28="",J28="",J28=0),"",ROUND(AVERAGEIFS('02_偏向角_記録'!$G$2:$G$401,'02_偏向角_記録'!$D$2:$D$401,$A28,'02_偏向角_記録'!$C$2:$C$401,"3T"),2)),"")</f>
        <v/>
      </c>
      <c r="L28" s="24">
        <f>IFERROR(IF(OR($A28="",J28="",J28&lt;2),"",ROUND(SQRT(SUMPRODUCT(('02_偏向角_記録'!$D$2:$D$401=$A28)*('02_偏向角_記録'!$C$2:$C$401="3T")*('02_偏向角_記録'!$G$2:$G$401&lt;&gt;"")*('02_偏向角_記録'!$G$2:$G$401-K28)^2)/(J28-1)),2)),"")</f>
        <v/>
      </c>
      <c r="M28" s="24">
        <f>IFERROR(IF(OR($A28="",J28="",J28&lt;2),"",ROUND(TINV(0.05,J28-1)*L28/SQRT(J28),2)),"")</f>
        <v/>
      </c>
      <c r="N28" s="24">
        <f>IFERROR(IF(OR($A28="",J28="",J28=0),"",ROUND(SUMPRODUCT(MAX(('02_偏向角_記録'!$D$2:$D$401=$A28)*('02_偏向角_記録'!$C$2:$C$401="3T")*'02_偏向角_記録'!$G$2:$G$401)),2)),"")</f>
        <v/>
      </c>
      <c r="O28" s="18">
        <f>IFERROR(IF(OR($A28="",J28="",J28=0),"",IF(COUNTIFS('02_偏向角_記録'!$D$2:$D$401,$A28,'02_偏向角_記録'!$C$2:$C$401,"3T",'02_偏向角_記録'!$G$2:$G$401,"&gt;=45")&gt;0,"要確認","適合")),"")</f>
        <v/>
      </c>
    </row>
    <row r="30">
      <c r="A30" s="20" t="inlineStr">
        <is>
          <t>試料IDは 01_試料マスタ の先頭24件を自動で参照しています。25件以上を扱う場合は最終行を下方向にコピーしてください。</t>
        </is>
      </c>
    </row>
  </sheetData>
  <mergeCells count="2">
    <mergeCell ref="J3:O3"/>
    <mergeCell ref="D3:I3"/>
  </mergeCells>
  <conditionalFormatting sqref="I5:I28">
    <cfRule type="cellIs" priority="1" operator="equal" dxfId="0">
      <formula>"要確認"</formula>
    </cfRule>
    <cfRule type="cellIs" priority="2" operator="equal" dxfId="1">
      <formula>"適合"</formula>
    </cfRule>
  </conditionalFormatting>
  <conditionalFormatting sqref="O5:O28">
    <cfRule type="cellIs" priority="3" operator="equal" dxfId="0">
      <formula>"要確認"</formula>
    </cfRule>
    <cfRule type="cellIs" priority="4" operator="equal" dxfId="1">
      <formula>"適合"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12" customWidth="1" min="4" max="4"/>
    <col width="9" customWidth="1" min="5" max="5"/>
    <col width="13" customWidth="1" min="6" max="6"/>
    <col width="10" customWidth="1" min="7" max="7"/>
    <col width="10" customWidth="1" min="8" max="8"/>
    <col width="11" customWidth="1" min="9" max="9"/>
    <col width="11" customWidth="1" min="10" max="10"/>
    <col width="8" customWidth="1" min="11" max="11"/>
    <col width="15" customWidth="1" min="12" max="12"/>
    <col width="11" customWidth="1" min="13" max="13"/>
    <col width="11" customWidth="1" min="14" max="14"/>
    <col width="28" customWidth="1" min="15" max="15"/>
  </cols>
  <sheetData>
    <row r="1" ht="32" customHeight="1">
      <c r="A1" s="9" t="inlineStr">
        <is>
          <t>測定ID</t>
        </is>
      </c>
      <c r="B1" s="9" t="inlineStr">
        <is>
          <t>測定日</t>
        </is>
      </c>
      <c r="C1" s="9" t="inlineStr">
        <is>
          <t>装置</t>
        </is>
      </c>
      <c r="D1" s="9" t="inlineStr">
        <is>
          <t>シーケンス</t>
        </is>
      </c>
      <c r="E1" s="9" t="inlineStr">
        <is>
          <t>TE (ms)</t>
        </is>
      </c>
      <c r="F1" s="9" t="inlineStr">
        <is>
          <t>受信BW (Hz/px)</t>
        </is>
      </c>
      <c r="G1" s="9" t="inlineStr">
        <is>
          <t>PE方向</t>
        </is>
      </c>
      <c r="H1" s="9" t="inlineStr">
        <is>
          <t>距離 (cm)</t>
        </is>
      </c>
      <c r="I1" s="9" t="inlineStr">
        <is>
          <t>配置角度 (°)</t>
        </is>
      </c>
      <c r="J1" s="9" t="inlineStr">
        <is>
          <t>試料ID</t>
        </is>
      </c>
      <c r="K1" s="9" t="inlineStr">
        <is>
          <t>反復No</t>
        </is>
      </c>
      <c r="L1" s="9" t="inlineStr">
        <is>
          <t>信号消失面積 (mm2)</t>
        </is>
      </c>
      <c r="M1" s="9" t="inlineStr">
        <is>
          <t>最大径 (mm)</t>
        </is>
      </c>
      <c r="N1" s="9" t="inlineStr">
        <is>
          <t>測定者</t>
        </is>
      </c>
      <c r="O1" s="9" t="inlineStr">
        <is>
          <t>備考</t>
        </is>
      </c>
    </row>
    <row r="2">
      <c r="A2" s="10" t="inlineStr">
        <is>
          <t>A-0001</t>
        </is>
      </c>
      <c r="B2" s="11" t="n">
        <v>46063</v>
      </c>
      <c r="C2" s="10" t="inlineStr">
        <is>
          <t>3T</t>
        </is>
      </c>
      <c r="D2" s="10" t="inlineStr">
        <is>
          <t>GRE</t>
        </is>
      </c>
      <c r="E2" s="10" t="n">
        <v>15</v>
      </c>
      <c r="F2" s="10" t="n">
        <v>250</v>
      </c>
      <c r="G2" s="10" t="inlineStr">
        <is>
          <t>A-P</t>
        </is>
      </c>
      <c r="H2" s="10" t="n">
        <v>0</v>
      </c>
      <c r="I2" s="10" t="n">
        <v>0</v>
      </c>
      <c r="J2" s="10" t="inlineStr">
        <is>
          <t>S-01</t>
        </is>
      </c>
      <c r="K2" s="10" t="n">
        <v>1</v>
      </c>
      <c r="L2" s="16" t="n">
        <v>121.4</v>
      </c>
      <c r="M2" s="16" t="n">
        <v>14.2</v>
      </c>
      <c r="N2" s="10" t="inlineStr">
        <is>
          <t>山田</t>
        </is>
      </c>
      <c r="O2" s="10" t="inlineStr">
        <is>
          <t>ASTM F2119：参照画像との差30%超を閾値</t>
        </is>
      </c>
    </row>
    <row r="3">
      <c r="A3" s="13" t="n"/>
      <c r="B3" s="14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9" t="n"/>
      <c r="M3" s="19" t="n"/>
      <c r="N3" s="13" t="n"/>
      <c r="O3" s="13" t="n"/>
    </row>
    <row r="4">
      <c r="A4" s="13" t="n"/>
      <c r="B4" s="14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9" t="n"/>
      <c r="M4" s="19" t="n"/>
      <c r="N4" s="13" t="n"/>
      <c r="O4" s="13" t="n"/>
    </row>
    <row r="5">
      <c r="A5" s="13" t="n"/>
      <c r="B5" s="14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9" t="n"/>
      <c r="M5" s="19" t="n"/>
      <c r="N5" s="13" t="n"/>
      <c r="O5" s="13" t="n"/>
    </row>
    <row r="6">
      <c r="A6" s="13" t="n"/>
      <c r="B6" s="14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9" t="n"/>
      <c r="M6" s="19" t="n"/>
      <c r="N6" s="13" t="n"/>
      <c r="O6" s="13" t="n"/>
    </row>
    <row r="7">
      <c r="A7" s="13" t="n"/>
      <c r="B7" s="14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9" t="n"/>
      <c r="M7" s="19" t="n"/>
      <c r="N7" s="13" t="n"/>
      <c r="O7" s="13" t="n"/>
    </row>
    <row r="8">
      <c r="A8" s="13" t="n"/>
      <c r="B8" s="14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9" t="n"/>
      <c r="M8" s="19" t="n"/>
      <c r="N8" s="13" t="n"/>
      <c r="O8" s="13" t="n"/>
    </row>
    <row r="9">
      <c r="A9" s="13" t="n"/>
      <c r="B9" s="14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9" t="n"/>
      <c r="M9" s="19" t="n"/>
      <c r="N9" s="13" t="n"/>
      <c r="O9" s="13" t="n"/>
    </row>
    <row r="10">
      <c r="A10" s="13" t="n"/>
      <c r="B10" s="14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9" t="n"/>
      <c r="M10" s="19" t="n"/>
      <c r="N10" s="13" t="n"/>
      <c r="O10" s="13" t="n"/>
    </row>
    <row r="11">
      <c r="A11" s="13" t="n"/>
      <c r="B11" s="14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9" t="n"/>
      <c r="M11" s="19" t="n"/>
      <c r="N11" s="13" t="n"/>
      <c r="O11" s="13" t="n"/>
    </row>
    <row r="12">
      <c r="A12" s="13" t="n"/>
      <c r="B12" s="14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9" t="n"/>
      <c r="M12" s="19" t="n"/>
      <c r="N12" s="13" t="n"/>
      <c r="O12" s="13" t="n"/>
    </row>
    <row r="13">
      <c r="A13" s="13" t="n"/>
      <c r="B13" s="14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9" t="n"/>
      <c r="M13" s="19" t="n"/>
      <c r="N13" s="13" t="n"/>
      <c r="O13" s="13" t="n"/>
    </row>
    <row r="14">
      <c r="A14" s="13" t="n"/>
      <c r="B14" s="14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9" t="n"/>
      <c r="M14" s="19" t="n"/>
      <c r="N14" s="13" t="n"/>
      <c r="O14" s="13" t="n"/>
    </row>
    <row r="15">
      <c r="A15" s="13" t="n"/>
      <c r="B15" s="14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9" t="n"/>
      <c r="M15" s="19" t="n"/>
      <c r="N15" s="13" t="n"/>
      <c r="O15" s="13" t="n"/>
    </row>
    <row r="16">
      <c r="A16" s="13" t="n"/>
      <c r="B16" s="14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9" t="n"/>
      <c r="M16" s="19" t="n"/>
      <c r="N16" s="13" t="n"/>
      <c r="O16" s="13" t="n"/>
    </row>
    <row r="17">
      <c r="A17" s="13" t="n"/>
      <c r="B17" s="14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9" t="n"/>
      <c r="M17" s="19" t="n"/>
      <c r="N17" s="13" t="n"/>
      <c r="O17" s="13" t="n"/>
    </row>
    <row r="18">
      <c r="A18" s="13" t="n"/>
      <c r="B18" s="14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9" t="n"/>
      <c r="M18" s="19" t="n"/>
      <c r="N18" s="13" t="n"/>
      <c r="O18" s="13" t="n"/>
    </row>
    <row r="19">
      <c r="A19" s="13" t="n"/>
      <c r="B19" s="14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9" t="n"/>
      <c r="M19" s="19" t="n"/>
      <c r="N19" s="13" t="n"/>
      <c r="O19" s="13" t="n"/>
    </row>
    <row r="20">
      <c r="A20" s="13" t="n"/>
      <c r="B20" s="14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9" t="n"/>
      <c r="M20" s="19" t="n"/>
      <c r="N20" s="13" t="n"/>
      <c r="O20" s="13" t="n"/>
    </row>
    <row r="21">
      <c r="A21" s="13" t="n"/>
      <c r="B21" s="14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9" t="n"/>
      <c r="M21" s="19" t="n"/>
      <c r="N21" s="13" t="n"/>
      <c r="O21" s="13" t="n"/>
    </row>
    <row r="22">
      <c r="A22" s="13" t="n"/>
      <c r="B22" s="14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9" t="n"/>
      <c r="M22" s="19" t="n"/>
      <c r="N22" s="13" t="n"/>
      <c r="O22" s="13" t="n"/>
    </row>
    <row r="23">
      <c r="A23" s="13" t="n"/>
      <c r="B23" s="14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9" t="n"/>
      <c r="M23" s="19" t="n"/>
      <c r="N23" s="13" t="n"/>
      <c r="O23" s="13" t="n"/>
    </row>
    <row r="24">
      <c r="A24" s="13" t="n"/>
      <c r="B24" s="14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9" t="n"/>
      <c r="M24" s="19" t="n"/>
      <c r="N24" s="13" t="n"/>
      <c r="O24" s="13" t="n"/>
    </row>
    <row r="25">
      <c r="A25" s="13" t="n"/>
      <c r="B25" s="14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9" t="n"/>
      <c r="M25" s="19" t="n"/>
      <c r="N25" s="13" t="n"/>
      <c r="O25" s="13" t="n"/>
    </row>
    <row r="26">
      <c r="A26" s="13" t="n"/>
      <c r="B26" s="14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9" t="n"/>
      <c r="M26" s="19" t="n"/>
      <c r="N26" s="13" t="n"/>
      <c r="O26" s="13" t="n"/>
    </row>
    <row r="27">
      <c r="A27" s="13" t="n"/>
      <c r="B27" s="14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9" t="n"/>
      <c r="M27" s="19" t="n"/>
      <c r="N27" s="13" t="n"/>
      <c r="O27" s="13" t="n"/>
    </row>
    <row r="28">
      <c r="A28" s="13" t="n"/>
      <c r="B28" s="14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9" t="n"/>
      <c r="M28" s="19" t="n"/>
      <c r="N28" s="13" t="n"/>
      <c r="O28" s="13" t="n"/>
    </row>
    <row r="29">
      <c r="A29" s="13" t="n"/>
      <c r="B29" s="14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9" t="n"/>
      <c r="M29" s="19" t="n"/>
      <c r="N29" s="13" t="n"/>
      <c r="O29" s="13" t="n"/>
    </row>
    <row r="30">
      <c r="A30" s="13" t="n"/>
      <c r="B30" s="14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9" t="n"/>
      <c r="M30" s="19" t="n"/>
      <c r="N30" s="13" t="n"/>
      <c r="O30" s="13" t="n"/>
    </row>
    <row r="31">
      <c r="A31" s="13" t="n"/>
      <c r="B31" s="14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9" t="n"/>
      <c r="M31" s="19" t="n"/>
      <c r="N31" s="13" t="n"/>
      <c r="O31" s="13" t="n"/>
    </row>
    <row r="32">
      <c r="A32" s="13" t="n"/>
      <c r="B32" s="14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9" t="n"/>
      <c r="M32" s="19" t="n"/>
      <c r="N32" s="13" t="n"/>
      <c r="O32" s="13" t="n"/>
    </row>
    <row r="33">
      <c r="A33" s="13" t="n"/>
      <c r="B33" s="14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9" t="n"/>
      <c r="M33" s="19" t="n"/>
      <c r="N33" s="13" t="n"/>
      <c r="O33" s="13" t="n"/>
    </row>
    <row r="34">
      <c r="A34" s="13" t="n"/>
      <c r="B34" s="14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9" t="n"/>
      <c r="M34" s="19" t="n"/>
      <c r="N34" s="13" t="n"/>
      <c r="O34" s="13" t="n"/>
    </row>
    <row r="35">
      <c r="A35" s="13" t="n"/>
      <c r="B35" s="14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9" t="n"/>
      <c r="M35" s="19" t="n"/>
      <c r="N35" s="13" t="n"/>
      <c r="O35" s="13" t="n"/>
    </row>
    <row r="36">
      <c r="A36" s="13" t="n"/>
      <c r="B36" s="14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9" t="n"/>
      <c r="M36" s="19" t="n"/>
      <c r="N36" s="13" t="n"/>
      <c r="O36" s="13" t="n"/>
    </row>
    <row r="37">
      <c r="A37" s="13" t="n"/>
      <c r="B37" s="14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9" t="n"/>
      <c r="M37" s="19" t="n"/>
      <c r="N37" s="13" t="n"/>
      <c r="O37" s="13" t="n"/>
    </row>
    <row r="38">
      <c r="A38" s="13" t="n"/>
      <c r="B38" s="14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9" t="n"/>
      <c r="M38" s="19" t="n"/>
      <c r="N38" s="13" t="n"/>
      <c r="O38" s="13" t="n"/>
    </row>
    <row r="39">
      <c r="A39" s="13" t="n"/>
      <c r="B39" s="14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9" t="n"/>
      <c r="M39" s="19" t="n"/>
      <c r="N39" s="13" t="n"/>
      <c r="O39" s="13" t="n"/>
    </row>
    <row r="40">
      <c r="A40" s="13" t="n"/>
      <c r="B40" s="14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9" t="n"/>
      <c r="M40" s="19" t="n"/>
      <c r="N40" s="13" t="n"/>
      <c r="O40" s="13" t="n"/>
    </row>
    <row r="41">
      <c r="A41" s="13" t="n"/>
      <c r="B41" s="14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9" t="n"/>
      <c r="M41" s="19" t="n"/>
      <c r="N41" s="13" t="n"/>
      <c r="O41" s="13" t="n"/>
    </row>
    <row r="42">
      <c r="A42" s="13" t="n"/>
      <c r="B42" s="14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9" t="n"/>
      <c r="M42" s="19" t="n"/>
      <c r="N42" s="13" t="n"/>
      <c r="O42" s="13" t="n"/>
    </row>
    <row r="43">
      <c r="A43" s="13" t="n"/>
      <c r="B43" s="14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9" t="n"/>
      <c r="M43" s="19" t="n"/>
      <c r="N43" s="13" t="n"/>
      <c r="O43" s="13" t="n"/>
    </row>
    <row r="44">
      <c r="A44" s="13" t="n"/>
      <c r="B44" s="14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9" t="n"/>
      <c r="M44" s="19" t="n"/>
      <c r="N44" s="13" t="n"/>
      <c r="O44" s="13" t="n"/>
    </row>
    <row r="45">
      <c r="A45" s="13" t="n"/>
      <c r="B45" s="14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9" t="n"/>
      <c r="M45" s="19" t="n"/>
      <c r="N45" s="13" t="n"/>
      <c r="O45" s="13" t="n"/>
    </row>
    <row r="46">
      <c r="A46" s="13" t="n"/>
      <c r="B46" s="14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9" t="n"/>
      <c r="M46" s="19" t="n"/>
      <c r="N46" s="13" t="n"/>
      <c r="O46" s="13" t="n"/>
    </row>
    <row r="47">
      <c r="A47" s="13" t="n"/>
      <c r="B47" s="14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9" t="n"/>
      <c r="M47" s="19" t="n"/>
      <c r="N47" s="13" t="n"/>
      <c r="O47" s="13" t="n"/>
    </row>
    <row r="48">
      <c r="A48" s="13" t="n"/>
      <c r="B48" s="14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9" t="n"/>
      <c r="M48" s="19" t="n"/>
      <c r="N48" s="13" t="n"/>
      <c r="O48" s="13" t="n"/>
    </row>
    <row r="49">
      <c r="A49" s="13" t="n"/>
      <c r="B49" s="14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9" t="n"/>
      <c r="M49" s="19" t="n"/>
      <c r="N49" s="13" t="n"/>
      <c r="O49" s="13" t="n"/>
    </row>
    <row r="50">
      <c r="A50" s="13" t="n"/>
      <c r="B50" s="14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9" t="n"/>
      <c r="M50" s="19" t="n"/>
      <c r="N50" s="13" t="n"/>
      <c r="O50" s="13" t="n"/>
    </row>
    <row r="51">
      <c r="A51" s="13" t="n"/>
      <c r="B51" s="14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9" t="n"/>
      <c r="M51" s="19" t="n"/>
      <c r="N51" s="13" t="n"/>
      <c r="O51" s="13" t="n"/>
    </row>
    <row r="52">
      <c r="A52" s="13" t="n"/>
      <c r="B52" s="14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9" t="n"/>
      <c r="M52" s="19" t="n"/>
      <c r="N52" s="13" t="n"/>
      <c r="O52" s="13" t="n"/>
    </row>
    <row r="53">
      <c r="A53" s="13" t="n"/>
      <c r="B53" s="14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9" t="n"/>
      <c r="M53" s="19" t="n"/>
      <c r="N53" s="13" t="n"/>
      <c r="O53" s="13" t="n"/>
    </row>
    <row r="54">
      <c r="A54" s="13" t="n"/>
      <c r="B54" s="14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9" t="n"/>
      <c r="M54" s="19" t="n"/>
      <c r="N54" s="13" t="n"/>
      <c r="O54" s="13" t="n"/>
    </row>
    <row r="55">
      <c r="A55" s="13" t="n"/>
      <c r="B55" s="14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9" t="n"/>
      <c r="M55" s="19" t="n"/>
      <c r="N55" s="13" t="n"/>
      <c r="O55" s="13" t="n"/>
    </row>
    <row r="56">
      <c r="A56" s="13" t="n"/>
      <c r="B56" s="14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9" t="n"/>
      <c r="M56" s="19" t="n"/>
      <c r="N56" s="13" t="n"/>
      <c r="O56" s="13" t="n"/>
    </row>
    <row r="57">
      <c r="A57" s="13" t="n"/>
      <c r="B57" s="14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9" t="n"/>
      <c r="M57" s="19" t="n"/>
      <c r="N57" s="13" t="n"/>
      <c r="O57" s="13" t="n"/>
    </row>
    <row r="58">
      <c r="A58" s="13" t="n"/>
      <c r="B58" s="14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9" t="n"/>
      <c r="M58" s="19" t="n"/>
      <c r="N58" s="13" t="n"/>
      <c r="O58" s="13" t="n"/>
    </row>
    <row r="59">
      <c r="A59" s="13" t="n"/>
      <c r="B59" s="14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9" t="n"/>
      <c r="M59" s="19" t="n"/>
      <c r="N59" s="13" t="n"/>
      <c r="O59" s="13" t="n"/>
    </row>
    <row r="60">
      <c r="A60" s="13" t="n"/>
      <c r="B60" s="14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9" t="n"/>
      <c r="M60" s="19" t="n"/>
      <c r="N60" s="13" t="n"/>
      <c r="O60" s="13" t="n"/>
    </row>
    <row r="61">
      <c r="A61" s="13" t="n"/>
      <c r="B61" s="14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9" t="n"/>
      <c r="M61" s="19" t="n"/>
      <c r="N61" s="13" t="n"/>
      <c r="O61" s="13" t="n"/>
    </row>
    <row r="62">
      <c r="A62" s="13" t="n"/>
      <c r="B62" s="14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9" t="n"/>
      <c r="M62" s="19" t="n"/>
      <c r="N62" s="13" t="n"/>
      <c r="O62" s="13" t="n"/>
    </row>
    <row r="63">
      <c r="A63" s="13" t="n"/>
      <c r="B63" s="14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9" t="n"/>
      <c r="M63" s="19" t="n"/>
      <c r="N63" s="13" t="n"/>
      <c r="O63" s="13" t="n"/>
    </row>
    <row r="64">
      <c r="A64" s="13" t="n"/>
      <c r="B64" s="14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9" t="n"/>
      <c r="M64" s="19" t="n"/>
      <c r="N64" s="13" t="n"/>
      <c r="O64" s="13" t="n"/>
    </row>
    <row r="65">
      <c r="A65" s="13" t="n"/>
      <c r="B65" s="14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9" t="n"/>
      <c r="M65" s="19" t="n"/>
      <c r="N65" s="13" t="n"/>
      <c r="O65" s="13" t="n"/>
    </row>
    <row r="66">
      <c r="A66" s="13" t="n"/>
      <c r="B66" s="14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9" t="n"/>
      <c r="M66" s="19" t="n"/>
      <c r="N66" s="13" t="n"/>
      <c r="O66" s="13" t="n"/>
    </row>
    <row r="67">
      <c r="A67" s="13" t="n"/>
      <c r="B67" s="14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9" t="n"/>
      <c r="M67" s="19" t="n"/>
      <c r="N67" s="13" t="n"/>
      <c r="O67" s="13" t="n"/>
    </row>
    <row r="68">
      <c r="A68" s="13" t="n"/>
      <c r="B68" s="14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9" t="n"/>
      <c r="M68" s="19" t="n"/>
      <c r="N68" s="13" t="n"/>
      <c r="O68" s="13" t="n"/>
    </row>
    <row r="69">
      <c r="A69" s="13" t="n"/>
      <c r="B69" s="14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9" t="n"/>
      <c r="M69" s="19" t="n"/>
      <c r="N69" s="13" t="n"/>
      <c r="O69" s="13" t="n"/>
    </row>
    <row r="70">
      <c r="A70" s="13" t="n"/>
      <c r="B70" s="14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9" t="n"/>
      <c r="M70" s="19" t="n"/>
      <c r="N70" s="13" t="n"/>
      <c r="O70" s="13" t="n"/>
    </row>
    <row r="71">
      <c r="A71" s="13" t="n"/>
      <c r="B71" s="14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9" t="n"/>
      <c r="M71" s="19" t="n"/>
      <c r="N71" s="13" t="n"/>
      <c r="O71" s="13" t="n"/>
    </row>
    <row r="72">
      <c r="A72" s="13" t="n"/>
      <c r="B72" s="14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9" t="n"/>
      <c r="M72" s="19" t="n"/>
      <c r="N72" s="13" t="n"/>
      <c r="O72" s="13" t="n"/>
    </row>
    <row r="73">
      <c r="A73" s="13" t="n"/>
      <c r="B73" s="14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9" t="n"/>
      <c r="M73" s="19" t="n"/>
      <c r="N73" s="13" t="n"/>
      <c r="O73" s="13" t="n"/>
    </row>
    <row r="74">
      <c r="A74" s="13" t="n"/>
      <c r="B74" s="14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9" t="n"/>
      <c r="M74" s="19" t="n"/>
      <c r="N74" s="13" t="n"/>
      <c r="O74" s="13" t="n"/>
    </row>
    <row r="75">
      <c r="A75" s="13" t="n"/>
      <c r="B75" s="14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9" t="n"/>
      <c r="M75" s="19" t="n"/>
      <c r="N75" s="13" t="n"/>
      <c r="O75" s="13" t="n"/>
    </row>
    <row r="76">
      <c r="A76" s="13" t="n"/>
      <c r="B76" s="14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9" t="n"/>
      <c r="M76" s="19" t="n"/>
      <c r="N76" s="13" t="n"/>
      <c r="O76" s="13" t="n"/>
    </row>
    <row r="77">
      <c r="A77" s="13" t="n"/>
      <c r="B77" s="14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9" t="n"/>
      <c r="M77" s="19" t="n"/>
      <c r="N77" s="13" t="n"/>
      <c r="O77" s="13" t="n"/>
    </row>
    <row r="78">
      <c r="A78" s="13" t="n"/>
      <c r="B78" s="14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9" t="n"/>
      <c r="M78" s="19" t="n"/>
      <c r="N78" s="13" t="n"/>
      <c r="O78" s="13" t="n"/>
    </row>
    <row r="79">
      <c r="A79" s="13" t="n"/>
      <c r="B79" s="14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9" t="n"/>
      <c r="M79" s="19" t="n"/>
      <c r="N79" s="13" t="n"/>
      <c r="O79" s="13" t="n"/>
    </row>
    <row r="80">
      <c r="A80" s="13" t="n"/>
      <c r="B80" s="14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9" t="n"/>
      <c r="M80" s="19" t="n"/>
      <c r="N80" s="13" t="n"/>
      <c r="O80" s="13" t="n"/>
    </row>
    <row r="81">
      <c r="A81" s="13" t="n"/>
      <c r="B81" s="14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9" t="n"/>
      <c r="M81" s="19" t="n"/>
      <c r="N81" s="13" t="n"/>
      <c r="O81" s="13" t="n"/>
    </row>
    <row r="82">
      <c r="A82" s="13" t="n"/>
      <c r="B82" s="14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9" t="n"/>
      <c r="M82" s="19" t="n"/>
      <c r="N82" s="13" t="n"/>
      <c r="O82" s="13" t="n"/>
    </row>
    <row r="83">
      <c r="A83" s="13" t="n"/>
      <c r="B83" s="14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9" t="n"/>
      <c r="M83" s="19" t="n"/>
      <c r="N83" s="13" t="n"/>
      <c r="O83" s="13" t="n"/>
    </row>
    <row r="84">
      <c r="A84" s="13" t="n"/>
      <c r="B84" s="14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9" t="n"/>
      <c r="M84" s="19" t="n"/>
      <c r="N84" s="13" t="n"/>
      <c r="O84" s="13" t="n"/>
    </row>
    <row r="85">
      <c r="A85" s="13" t="n"/>
      <c r="B85" s="14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9" t="n"/>
      <c r="M85" s="19" t="n"/>
      <c r="N85" s="13" t="n"/>
      <c r="O85" s="13" t="n"/>
    </row>
    <row r="86">
      <c r="A86" s="13" t="n"/>
      <c r="B86" s="14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9" t="n"/>
      <c r="M86" s="19" t="n"/>
      <c r="N86" s="13" t="n"/>
      <c r="O86" s="13" t="n"/>
    </row>
    <row r="87">
      <c r="A87" s="13" t="n"/>
      <c r="B87" s="14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9" t="n"/>
      <c r="M87" s="19" t="n"/>
      <c r="N87" s="13" t="n"/>
      <c r="O87" s="13" t="n"/>
    </row>
    <row r="88">
      <c r="A88" s="13" t="n"/>
      <c r="B88" s="14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9" t="n"/>
      <c r="M88" s="19" t="n"/>
      <c r="N88" s="13" t="n"/>
      <c r="O88" s="13" t="n"/>
    </row>
    <row r="89">
      <c r="A89" s="13" t="n"/>
      <c r="B89" s="14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9" t="n"/>
      <c r="M89" s="19" t="n"/>
      <c r="N89" s="13" t="n"/>
      <c r="O89" s="13" t="n"/>
    </row>
    <row r="90">
      <c r="A90" s="13" t="n"/>
      <c r="B90" s="14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9" t="n"/>
      <c r="M90" s="19" t="n"/>
      <c r="N90" s="13" t="n"/>
      <c r="O90" s="13" t="n"/>
    </row>
    <row r="91">
      <c r="A91" s="13" t="n"/>
      <c r="B91" s="14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9" t="n"/>
      <c r="M91" s="19" t="n"/>
      <c r="N91" s="13" t="n"/>
      <c r="O91" s="13" t="n"/>
    </row>
    <row r="92">
      <c r="A92" s="13" t="n"/>
      <c r="B92" s="14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9" t="n"/>
      <c r="M92" s="19" t="n"/>
      <c r="N92" s="13" t="n"/>
      <c r="O92" s="13" t="n"/>
    </row>
    <row r="93">
      <c r="A93" s="13" t="n"/>
      <c r="B93" s="14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9" t="n"/>
      <c r="M93" s="19" t="n"/>
      <c r="N93" s="13" t="n"/>
      <c r="O93" s="13" t="n"/>
    </row>
    <row r="94">
      <c r="A94" s="13" t="n"/>
      <c r="B94" s="14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9" t="n"/>
      <c r="M94" s="19" t="n"/>
      <c r="N94" s="13" t="n"/>
      <c r="O94" s="13" t="n"/>
    </row>
    <row r="95">
      <c r="A95" s="13" t="n"/>
      <c r="B95" s="14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9" t="n"/>
      <c r="M95" s="19" t="n"/>
      <c r="N95" s="13" t="n"/>
      <c r="O95" s="13" t="n"/>
    </row>
    <row r="96">
      <c r="A96" s="13" t="n"/>
      <c r="B96" s="14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9" t="n"/>
      <c r="M96" s="19" t="n"/>
      <c r="N96" s="13" t="n"/>
      <c r="O96" s="13" t="n"/>
    </row>
    <row r="97">
      <c r="A97" s="13" t="n"/>
      <c r="B97" s="14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9" t="n"/>
      <c r="M97" s="19" t="n"/>
      <c r="N97" s="13" t="n"/>
      <c r="O97" s="13" t="n"/>
    </row>
    <row r="98">
      <c r="A98" s="13" t="n"/>
      <c r="B98" s="14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9" t="n"/>
      <c r="M98" s="19" t="n"/>
      <c r="N98" s="13" t="n"/>
      <c r="O98" s="13" t="n"/>
    </row>
    <row r="99">
      <c r="A99" s="13" t="n"/>
      <c r="B99" s="14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9" t="n"/>
      <c r="M99" s="19" t="n"/>
      <c r="N99" s="13" t="n"/>
      <c r="O99" s="13" t="n"/>
    </row>
    <row r="100">
      <c r="A100" s="13" t="n"/>
      <c r="B100" s="14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9" t="n"/>
      <c r="M100" s="19" t="n"/>
      <c r="N100" s="13" t="n"/>
      <c r="O100" s="13" t="n"/>
    </row>
    <row r="101">
      <c r="A101" s="13" t="n"/>
      <c r="B101" s="14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9" t="n"/>
      <c r="M101" s="19" t="n"/>
      <c r="N101" s="13" t="n"/>
      <c r="O101" s="13" t="n"/>
    </row>
    <row r="102">
      <c r="A102" s="13" t="n"/>
      <c r="B102" s="14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9" t="n"/>
      <c r="M102" s="19" t="n"/>
      <c r="N102" s="13" t="n"/>
      <c r="O102" s="13" t="n"/>
    </row>
    <row r="103">
      <c r="A103" s="13" t="n"/>
      <c r="B103" s="14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9" t="n"/>
      <c r="M103" s="19" t="n"/>
      <c r="N103" s="13" t="n"/>
      <c r="O103" s="13" t="n"/>
    </row>
    <row r="104">
      <c r="A104" s="13" t="n"/>
      <c r="B104" s="14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9" t="n"/>
      <c r="M104" s="19" t="n"/>
      <c r="N104" s="13" t="n"/>
      <c r="O104" s="13" t="n"/>
    </row>
    <row r="105">
      <c r="A105" s="13" t="n"/>
      <c r="B105" s="14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9" t="n"/>
      <c r="M105" s="19" t="n"/>
      <c r="N105" s="13" t="n"/>
      <c r="O105" s="13" t="n"/>
    </row>
    <row r="106">
      <c r="A106" s="13" t="n"/>
      <c r="B106" s="14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9" t="n"/>
      <c r="M106" s="19" t="n"/>
      <c r="N106" s="13" t="n"/>
      <c r="O106" s="13" t="n"/>
    </row>
    <row r="107">
      <c r="A107" s="13" t="n"/>
      <c r="B107" s="14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9" t="n"/>
      <c r="M107" s="19" t="n"/>
      <c r="N107" s="13" t="n"/>
      <c r="O107" s="13" t="n"/>
    </row>
    <row r="108">
      <c r="A108" s="13" t="n"/>
      <c r="B108" s="14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9" t="n"/>
      <c r="M108" s="19" t="n"/>
      <c r="N108" s="13" t="n"/>
      <c r="O108" s="13" t="n"/>
    </row>
    <row r="109">
      <c r="A109" s="13" t="n"/>
      <c r="B109" s="14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9" t="n"/>
      <c r="M109" s="19" t="n"/>
      <c r="N109" s="13" t="n"/>
      <c r="O109" s="13" t="n"/>
    </row>
    <row r="110">
      <c r="A110" s="13" t="n"/>
      <c r="B110" s="14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9" t="n"/>
      <c r="M110" s="19" t="n"/>
      <c r="N110" s="13" t="n"/>
      <c r="O110" s="13" t="n"/>
    </row>
    <row r="111">
      <c r="A111" s="13" t="n"/>
      <c r="B111" s="14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9" t="n"/>
      <c r="M111" s="19" t="n"/>
      <c r="N111" s="13" t="n"/>
      <c r="O111" s="13" t="n"/>
    </row>
    <row r="112">
      <c r="A112" s="13" t="n"/>
      <c r="B112" s="14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9" t="n"/>
      <c r="M112" s="19" t="n"/>
      <c r="N112" s="13" t="n"/>
      <c r="O112" s="13" t="n"/>
    </row>
    <row r="113">
      <c r="A113" s="13" t="n"/>
      <c r="B113" s="14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9" t="n"/>
      <c r="M113" s="19" t="n"/>
      <c r="N113" s="13" t="n"/>
      <c r="O113" s="13" t="n"/>
    </row>
    <row r="114">
      <c r="A114" s="13" t="n"/>
      <c r="B114" s="14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9" t="n"/>
      <c r="M114" s="19" t="n"/>
      <c r="N114" s="13" t="n"/>
      <c r="O114" s="13" t="n"/>
    </row>
    <row r="115">
      <c r="A115" s="13" t="n"/>
      <c r="B115" s="14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9" t="n"/>
      <c r="M115" s="19" t="n"/>
      <c r="N115" s="13" t="n"/>
      <c r="O115" s="13" t="n"/>
    </row>
    <row r="116">
      <c r="A116" s="13" t="n"/>
      <c r="B116" s="14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9" t="n"/>
      <c r="M116" s="19" t="n"/>
      <c r="N116" s="13" t="n"/>
      <c r="O116" s="13" t="n"/>
    </row>
    <row r="117">
      <c r="A117" s="13" t="n"/>
      <c r="B117" s="14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9" t="n"/>
      <c r="M117" s="19" t="n"/>
      <c r="N117" s="13" t="n"/>
      <c r="O117" s="13" t="n"/>
    </row>
    <row r="118">
      <c r="A118" s="13" t="n"/>
      <c r="B118" s="14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9" t="n"/>
      <c r="M118" s="19" t="n"/>
      <c r="N118" s="13" t="n"/>
      <c r="O118" s="13" t="n"/>
    </row>
    <row r="119">
      <c r="A119" s="13" t="n"/>
      <c r="B119" s="14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9" t="n"/>
      <c r="M119" s="19" t="n"/>
      <c r="N119" s="13" t="n"/>
      <c r="O119" s="13" t="n"/>
    </row>
    <row r="120">
      <c r="A120" s="13" t="n"/>
      <c r="B120" s="14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9" t="n"/>
      <c r="M120" s="19" t="n"/>
      <c r="N120" s="13" t="n"/>
      <c r="O120" s="13" t="n"/>
    </row>
    <row r="121">
      <c r="A121" s="13" t="n"/>
      <c r="B121" s="14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9" t="n"/>
      <c r="M121" s="19" t="n"/>
      <c r="N121" s="13" t="n"/>
      <c r="O121" s="13" t="n"/>
    </row>
    <row r="122">
      <c r="A122" s="13" t="n"/>
      <c r="B122" s="14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9" t="n"/>
      <c r="M122" s="19" t="n"/>
      <c r="N122" s="13" t="n"/>
      <c r="O122" s="13" t="n"/>
    </row>
    <row r="123">
      <c r="A123" s="13" t="n"/>
      <c r="B123" s="14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9" t="n"/>
      <c r="M123" s="19" t="n"/>
      <c r="N123" s="13" t="n"/>
      <c r="O123" s="13" t="n"/>
    </row>
    <row r="124">
      <c r="A124" s="13" t="n"/>
      <c r="B124" s="14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9" t="n"/>
      <c r="M124" s="19" t="n"/>
      <c r="N124" s="13" t="n"/>
      <c r="O124" s="13" t="n"/>
    </row>
    <row r="125">
      <c r="A125" s="13" t="n"/>
      <c r="B125" s="14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9" t="n"/>
      <c r="M125" s="19" t="n"/>
      <c r="N125" s="13" t="n"/>
      <c r="O125" s="13" t="n"/>
    </row>
    <row r="126">
      <c r="A126" s="13" t="n"/>
      <c r="B126" s="14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9" t="n"/>
      <c r="M126" s="19" t="n"/>
      <c r="N126" s="13" t="n"/>
      <c r="O126" s="13" t="n"/>
    </row>
    <row r="127">
      <c r="A127" s="13" t="n"/>
      <c r="B127" s="14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9" t="n"/>
      <c r="M127" s="19" t="n"/>
      <c r="N127" s="13" t="n"/>
      <c r="O127" s="13" t="n"/>
    </row>
    <row r="128">
      <c r="A128" s="13" t="n"/>
      <c r="B128" s="14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9" t="n"/>
      <c r="M128" s="19" t="n"/>
      <c r="N128" s="13" t="n"/>
      <c r="O128" s="13" t="n"/>
    </row>
    <row r="129">
      <c r="A129" s="13" t="n"/>
      <c r="B129" s="14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9" t="n"/>
      <c r="M129" s="19" t="n"/>
      <c r="N129" s="13" t="n"/>
      <c r="O129" s="13" t="n"/>
    </row>
    <row r="130">
      <c r="A130" s="13" t="n"/>
      <c r="B130" s="14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9" t="n"/>
      <c r="M130" s="19" t="n"/>
      <c r="N130" s="13" t="n"/>
      <c r="O130" s="13" t="n"/>
    </row>
    <row r="131">
      <c r="A131" s="13" t="n"/>
      <c r="B131" s="14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9" t="n"/>
      <c r="M131" s="19" t="n"/>
      <c r="N131" s="13" t="n"/>
      <c r="O131" s="13" t="n"/>
    </row>
    <row r="132">
      <c r="A132" s="13" t="n"/>
      <c r="B132" s="14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9" t="n"/>
      <c r="M132" s="19" t="n"/>
      <c r="N132" s="13" t="n"/>
      <c r="O132" s="13" t="n"/>
    </row>
    <row r="133">
      <c r="A133" s="13" t="n"/>
      <c r="B133" s="14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9" t="n"/>
      <c r="M133" s="19" t="n"/>
      <c r="N133" s="13" t="n"/>
      <c r="O133" s="13" t="n"/>
    </row>
    <row r="134">
      <c r="A134" s="13" t="n"/>
      <c r="B134" s="14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9" t="n"/>
      <c r="M134" s="19" t="n"/>
      <c r="N134" s="13" t="n"/>
      <c r="O134" s="13" t="n"/>
    </row>
    <row r="135">
      <c r="A135" s="13" t="n"/>
      <c r="B135" s="14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9" t="n"/>
      <c r="M135" s="19" t="n"/>
      <c r="N135" s="13" t="n"/>
      <c r="O135" s="13" t="n"/>
    </row>
    <row r="136">
      <c r="A136" s="13" t="n"/>
      <c r="B136" s="14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9" t="n"/>
      <c r="M136" s="19" t="n"/>
      <c r="N136" s="13" t="n"/>
      <c r="O136" s="13" t="n"/>
    </row>
    <row r="137">
      <c r="A137" s="13" t="n"/>
      <c r="B137" s="14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9" t="n"/>
      <c r="M137" s="19" t="n"/>
      <c r="N137" s="13" t="n"/>
      <c r="O137" s="13" t="n"/>
    </row>
    <row r="138">
      <c r="A138" s="13" t="n"/>
      <c r="B138" s="14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9" t="n"/>
      <c r="M138" s="19" t="n"/>
      <c r="N138" s="13" t="n"/>
      <c r="O138" s="13" t="n"/>
    </row>
    <row r="139">
      <c r="A139" s="13" t="n"/>
      <c r="B139" s="14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9" t="n"/>
      <c r="M139" s="19" t="n"/>
      <c r="N139" s="13" t="n"/>
      <c r="O139" s="13" t="n"/>
    </row>
    <row r="140">
      <c r="A140" s="13" t="n"/>
      <c r="B140" s="14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9" t="n"/>
      <c r="M140" s="19" t="n"/>
      <c r="N140" s="13" t="n"/>
      <c r="O140" s="13" t="n"/>
    </row>
    <row r="141">
      <c r="A141" s="13" t="n"/>
      <c r="B141" s="14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9" t="n"/>
      <c r="M141" s="19" t="n"/>
      <c r="N141" s="13" t="n"/>
      <c r="O141" s="13" t="n"/>
    </row>
    <row r="142">
      <c r="A142" s="13" t="n"/>
      <c r="B142" s="14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9" t="n"/>
      <c r="M142" s="19" t="n"/>
      <c r="N142" s="13" t="n"/>
      <c r="O142" s="13" t="n"/>
    </row>
    <row r="143">
      <c r="A143" s="13" t="n"/>
      <c r="B143" s="14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9" t="n"/>
      <c r="M143" s="19" t="n"/>
      <c r="N143" s="13" t="n"/>
      <c r="O143" s="13" t="n"/>
    </row>
    <row r="144">
      <c r="A144" s="13" t="n"/>
      <c r="B144" s="14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9" t="n"/>
      <c r="M144" s="19" t="n"/>
      <c r="N144" s="13" t="n"/>
      <c r="O144" s="13" t="n"/>
    </row>
    <row r="145">
      <c r="A145" s="13" t="n"/>
      <c r="B145" s="14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9" t="n"/>
      <c r="M145" s="19" t="n"/>
      <c r="N145" s="13" t="n"/>
      <c r="O145" s="13" t="n"/>
    </row>
    <row r="146">
      <c r="A146" s="13" t="n"/>
      <c r="B146" s="14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9" t="n"/>
      <c r="M146" s="19" t="n"/>
      <c r="N146" s="13" t="n"/>
      <c r="O146" s="13" t="n"/>
    </row>
    <row r="147">
      <c r="A147" s="13" t="n"/>
      <c r="B147" s="14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9" t="n"/>
      <c r="M147" s="19" t="n"/>
      <c r="N147" s="13" t="n"/>
      <c r="O147" s="13" t="n"/>
    </row>
    <row r="148">
      <c r="A148" s="13" t="n"/>
      <c r="B148" s="14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9" t="n"/>
      <c r="M148" s="19" t="n"/>
      <c r="N148" s="13" t="n"/>
      <c r="O148" s="13" t="n"/>
    </row>
    <row r="149">
      <c r="A149" s="13" t="n"/>
      <c r="B149" s="14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9" t="n"/>
      <c r="M149" s="19" t="n"/>
      <c r="N149" s="13" t="n"/>
      <c r="O149" s="13" t="n"/>
    </row>
    <row r="150">
      <c r="A150" s="13" t="n"/>
      <c r="B150" s="14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9" t="n"/>
      <c r="M150" s="19" t="n"/>
      <c r="N150" s="13" t="n"/>
      <c r="O150" s="13" t="n"/>
    </row>
    <row r="151">
      <c r="A151" s="13" t="n"/>
      <c r="B151" s="14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9" t="n"/>
      <c r="M151" s="19" t="n"/>
      <c r="N151" s="13" t="n"/>
      <c r="O151" s="13" t="n"/>
    </row>
    <row r="152">
      <c r="A152" s="13" t="n"/>
      <c r="B152" s="14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9" t="n"/>
      <c r="M152" s="19" t="n"/>
      <c r="N152" s="13" t="n"/>
      <c r="O152" s="13" t="n"/>
    </row>
    <row r="153">
      <c r="A153" s="13" t="n"/>
      <c r="B153" s="14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9" t="n"/>
      <c r="M153" s="19" t="n"/>
      <c r="N153" s="13" t="n"/>
      <c r="O153" s="13" t="n"/>
    </row>
    <row r="154">
      <c r="A154" s="13" t="n"/>
      <c r="B154" s="14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9" t="n"/>
      <c r="M154" s="19" t="n"/>
      <c r="N154" s="13" t="n"/>
      <c r="O154" s="13" t="n"/>
    </row>
    <row r="155">
      <c r="A155" s="13" t="n"/>
      <c r="B155" s="14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9" t="n"/>
      <c r="M155" s="19" t="n"/>
      <c r="N155" s="13" t="n"/>
      <c r="O155" s="13" t="n"/>
    </row>
    <row r="156">
      <c r="A156" s="13" t="n"/>
      <c r="B156" s="14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9" t="n"/>
      <c r="M156" s="19" t="n"/>
      <c r="N156" s="13" t="n"/>
      <c r="O156" s="13" t="n"/>
    </row>
    <row r="157">
      <c r="A157" s="13" t="n"/>
      <c r="B157" s="14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9" t="n"/>
      <c r="M157" s="19" t="n"/>
      <c r="N157" s="13" t="n"/>
      <c r="O157" s="13" t="n"/>
    </row>
    <row r="158">
      <c r="A158" s="13" t="n"/>
      <c r="B158" s="14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9" t="n"/>
      <c r="M158" s="19" t="n"/>
      <c r="N158" s="13" t="n"/>
      <c r="O158" s="13" t="n"/>
    </row>
    <row r="159">
      <c r="A159" s="13" t="n"/>
      <c r="B159" s="14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9" t="n"/>
      <c r="M159" s="19" t="n"/>
      <c r="N159" s="13" t="n"/>
      <c r="O159" s="13" t="n"/>
    </row>
    <row r="160">
      <c r="A160" s="13" t="n"/>
      <c r="B160" s="14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9" t="n"/>
      <c r="M160" s="19" t="n"/>
      <c r="N160" s="13" t="n"/>
      <c r="O160" s="13" t="n"/>
    </row>
    <row r="161">
      <c r="A161" s="13" t="n"/>
      <c r="B161" s="14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9" t="n"/>
      <c r="M161" s="19" t="n"/>
      <c r="N161" s="13" t="n"/>
      <c r="O161" s="13" t="n"/>
    </row>
    <row r="162">
      <c r="A162" s="13" t="n"/>
      <c r="B162" s="14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9" t="n"/>
      <c r="M162" s="19" t="n"/>
      <c r="N162" s="13" t="n"/>
      <c r="O162" s="13" t="n"/>
    </row>
    <row r="163">
      <c r="A163" s="13" t="n"/>
      <c r="B163" s="14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9" t="n"/>
      <c r="M163" s="19" t="n"/>
      <c r="N163" s="13" t="n"/>
      <c r="O163" s="13" t="n"/>
    </row>
    <row r="164">
      <c r="A164" s="13" t="n"/>
      <c r="B164" s="14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9" t="n"/>
      <c r="M164" s="19" t="n"/>
      <c r="N164" s="13" t="n"/>
      <c r="O164" s="13" t="n"/>
    </row>
    <row r="165">
      <c r="A165" s="13" t="n"/>
      <c r="B165" s="14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9" t="n"/>
      <c r="M165" s="19" t="n"/>
      <c r="N165" s="13" t="n"/>
      <c r="O165" s="13" t="n"/>
    </row>
    <row r="166">
      <c r="A166" s="13" t="n"/>
      <c r="B166" s="14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9" t="n"/>
      <c r="M166" s="19" t="n"/>
      <c r="N166" s="13" t="n"/>
      <c r="O166" s="13" t="n"/>
    </row>
    <row r="167">
      <c r="A167" s="13" t="n"/>
      <c r="B167" s="14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9" t="n"/>
      <c r="M167" s="19" t="n"/>
      <c r="N167" s="13" t="n"/>
      <c r="O167" s="13" t="n"/>
    </row>
    <row r="168">
      <c r="A168" s="13" t="n"/>
      <c r="B168" s="14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9" t="n"/>
      <c r="M168" s="19" t="n"/>
      <c r="N168" s="13" t="n"/>
      <c r="O168" s="13" t="n"/>
    </row>
    <row r="169">
      <c r="A169" s="13" t="n"/>
      <c r="B169" s="14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9" t="n"/>
      <c r="M169" s="19" t="n"/>
      <c r="N169" s="13" t="n"/>
      <c r="O169" s="13" t="n"/>
    </row>
    <row r="170">
      <c r="A170" s="13" t="n"/>
      <c r="B170" s="14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9" t="n"/>
      <c r="M170" s="19" t="n"/>
      <c r="N170" s="13" t="n"/>
      <c r="O170" s="13" t="n"/>
    </row>
    <row r="171">
      <c r="A171" s="13" t="n"/>
      <c r="B171" s="14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9" t="n"/>
      <c r="M171" s="19" t="n"/>
      <c r="N171" s="13" t="n"/>
      <c r="O171" s="13" t="n"/>
    </row>
    <row r="172">
      <c r="A172" s="13" t="n"/>
      <c r="B172" s="14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9" t="n"/>
      <c r="M172" s="19" t="n"/>
      <c r="N172" s="13" t="n"/>
      <c r="O172" s="13" t="n"/>
    </row>
    <row r="173">
      <c r="A173" s="13" t="n"/>
      <c r="B173" s="14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9" t="n"/>
      <c r="M173" s="19" t="n"/>
      <c r="N173" s="13" t="n"/>
      <c r="O173" s="13" t="n"/>
    </row>
    <row r="174">
      <c r="A174" s="13" t="n"/>
      <c r="B174" s="14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9" t="n"/>
      <c r="M174" s="19" t="n"/>
      <c r="N174" s="13" t="n"/>
      <c r="O174" s="13" t="n"/>
    </row>
    <row r="175">
      <c r="A175" s="13" t="n"/>
      <c r="B175" s="14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9" t="n"/>
      <c r="M175" s="19" t="n"/>
      <c r="N175" s="13" t="n"/>
      <c r="O175" s="13" t="n"/>
    </row>
    <row r="176">
      <c r="A176" s="13" t="n"/>
      <c r="B176" s="14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9" t="n"/>
      <c r="M176" s="19" t="n"/>
      <c r="N176" s="13" t="n"/>
      <c r="O176" s="13" t="n"/>
    </row>
    <row r="177">
      <c r="A177" s="13" t="n"/>
      <c r="B177" s="14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9" t="n"/>
      <c r="M177" s="19" t="n"/>
      <c r="N177" s="13" t="n"/>
      <c r="O177" s="13" t="n"/>
    </row>
    <row r="178">
      <c r="A178" s="13" t="n"/>
      <c r="B178" s="14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9" t="n"/>
      <c r="M178" s="19" t="n"/>
      <c r="N178" s="13" t="n"/>
      <c r="O178" s="13" t="n"/>
    </row>
    <row r="179">
      <c r="A179" s="13" t="n"/>
      <c r="B179" s="14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9" t="n"/>
      <c r="M179" s="19" t="n"/>
      <c r="N179" s="13" t="n"/>
      <c r="O179" s="13" t="n"/>
    </row>
    <row r="180">
      <c r="A180" s="13" t="n"/>
      <c r="B180" s="14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9" t="n"/>
      <c r="M180" s="19" t="n"/>
      <c r="N180" s="13" t="n"/>
      <c r="O180" s="13" t="n"/>
    </row>
    <row r="181">
      <c r="A181" s="13" t="n"/>
      <c r="B181" s="14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9" t="n"/>
      <c r="M181" s="19" t="n"/>
      <c r="N181" s="13" t="n"/>
      <c r="O181" s="13" t="n"/>
    </row>
    <row r="182">
      <c r="A182" s="13" t="n"/>
      <c r="B182" s="14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9" t="n"/>
      <c r="M182" s="19" t="n"/>
      <c r="N182" s="13" t="n"/>
      <c r="O182" s="13" t="n"/>
    </row>
    <row r="183">
      <c r="A183" s="13" t="n"/>
      <c r="B183" s="14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9" t="n"/>
      <c r="M183" s="19" t="n"/>
      <c r="N183" s="13" t="n"/>
      <c r="O183" s="13" t="n"/>
    </row>
    <row r="184">
      <c r="A184" s="13" t="n"/>
      <c r="B184" s="14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9" t="n"/>
      <c r="M184" s="19" t="n"/>
      <c r="N184" s="13" t="n"/>
      <c r="O184" s="13" t="n"/>
    </row>
    <row r="185">
      <c r="A185" s="13" t="n"/>
      <c r="B185" s="14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9" t="n"/>
      <c r="M185" s="19" t="n"/>
      <c r="N185" s="13" t="n"/>
      <c r="O185" s="13" t="n"/>
    </row>
    <row r="186">
      <c r="A186" s="13" t="n"/>
      <c r="B186" s="14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9" t="n"/>
      <c r="M186" s="19" t="n"/>
      <c r="N186" s="13" t="n"/>
      <c r="O186" s="13" t="n"/>
    </row>
    <row r="187">
      <c r="A187" s="13" t="n"/>
      <c r="B187" s="14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9" t="n"/>
      <c r="M187" s="19" t="n"/>
      <c r="N187" s="13" t="n"/>
      <c r="O187" s="13" t="n"/>
    </row>
    <row r="188">
      <c r="A188" s="13" t="n"/>
      <c r="B188" s="14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9" t="n"/>
      <c r="M188" s="19" t="n"/>
      <c r="N188" s="13" t="n"/>
      <c r="O188" s="13" t="n"/>
    </row>
    <row r="189">
      <c r="A189" s="13" t="n"/>
      <c r="B189" s="14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9" t="n"/>
      <c r="M189" s="19" t="n"/>
      <c r="N189" s="13" t="n"/>
      <c r="O189" s="13" t="n"/>
    </row>
    <row r="190">
      <c r="A190" s="13" t="n"/>
      <c r="B190" s="14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9" t="n"/>
      <c r="M190" s="19" t="n"/>
      <c r="N190" s="13" t="n"/>
      <c r="O190" s="13" t="n"/>
    </row>
    <row r="191">
      <c r="A191" s="13" t="n"/>
      <c r="B191" s="14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9" t="n"/>
      <c r="M191" s="19" t="n"/>
      <c r="N191" s="13" t="n"/>
      <c r="O191" s="13" t="n"/>
    </row>
    <row r="192">
      <c r="A192" s="13" t="n"/>
      <c r="B192" s="14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9" t="n"/>
      <c r="M192" s="19" t="n"/>
      <c r="N192" s="13" t="n"/>
      <c r="O192" s="13" t="n"/>
    </row>
    <row r="193">
      <c r="A193" s="13" t="n"/>
      <c r="B193" s="14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9" t="n"/>
      <c r="M193" s="19" t="n"/>
      <c r="N193" s="13" t="n"/>
      <c r="O193" s="13" t="n"/>
    </row>
    <row r="194">
      <c r="A194" s="13" t="n"/>
      <c r="B194" s="14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9" t="n"/>
      <c r="M194" s="19" t="n"/>
      <c r="N194" s="13" t="n"/>
      <c r="O194" s="13" t="n"/>
    </row>
    <row r="195">
      <c r="A195" s="13" t="n"/>
      <c r="B195" s="14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9" t="n"/>
      <c r="M195" s="19" t="n"/>
      <c r="N195" s="13" t="n"/>
      <c r="O195" s="13" t="n"/>
    </row>
    <row r="196">
      <c r="A196" s="13" t="n"/>
      <c r="B196" s="14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9" t="n"/>
      <c r="M196" s="19" t="n"/>
      <c r="N196" s="13" t="n"/>
      <c r="O196" s="13" t="n"/>
    </row>
    <row r="197">
      <c r="A197" s="13" t="n"/>
      <c r="B197" s="14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9" t="n"/>
      <c r="M197" s="19" t="n"/>
      <c r="N197" s="13" t="n"/>
      <c r="O197" s="13" t="n"/>
    </row>
    <row r="198">
      <c r="A198" s="13" t="n"/>
      <c r="B198" s="14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9" t="n"/>
      <c r="M198" s="19" t="n"/>
      <c r="N198" s="13" t="n"/>
      <c r="O198" s="13" t="n"/>
    </row>
    <row r="199">
      <c r="A199" s="13" t="n"/>
      <c r="B199" s="14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9" t="n"/>
      <c r="M199" s="19" t="n"/>
      <c r="N199" s="13" t="n"/>
      <c r="O199" s="13" t="n"/>
    </row>
    <row r="200">
      <c r="A200" s="13" t="n"/>
      <c r="B200" s="14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9" t="n"/>
      <c r="M200" s="19" t="n"/>
      <c r="N200" s="13" t="n"/>
      <c r="O200" s="13" t="n"/>
    </row>
    <row r="201">
      <c r="A201" s="13" t="n"/>
      <c r="B201" s="14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9" t="n"/>
      <c r="M201" s="19" t="n"/>
      <c r="N201" s="13" t="n"/>
      <c r="O201" s="13" t="n"/>
    </row>
    <row r="202">
      <c r="A202" s="13" t="n"/>
      <c r="B202" s="14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9" t="n"/>
      <c r="M202" s="19" t="n"/>
      <c r="N202" s="13" t="n"/>
      <c r="O202" s="13" t="n"/>
    </row>
    <row r="203">
      <c r="A203" s="13" t="n"/>
      <c r="B203" s="14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9" t="n"/>
      <c r="M203" s="19" t="n"/>
      <c r="N203" s="13" t="n"/>
      <c r="O203" s="13" t="n"/>
    </row>
    <row r="204">
      <c r="A204" s="13" t="n"/>
      <c r="B204" s="14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9" t="n"/>
      <c r="M204" s="19" t="n"/>
      <c r="N204" s="13" t="n"/>
      <c r="O204" s="13" t="n"/>
    </row>
    <row r="205">
      <c r="A205" s="13" t="n"/>
      <c r="B205" s="14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9" t="n"/>
      <c r="M205" s="19" t="n"/>
      <c r="N205" s="13" t="n"/>
      <c r="O205" s="13" t="n"/>
    </row>
    <row r="206">
      <c r="A206" s="13" t="n"/>
      <c r="B206" s="14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9" t="n"/>
      <c r="M206" s="19" t="n"/>
      <c r="N206" s="13" t="n"/>
      <c r="O206" s="13" t="n"/>
    </row>
    <row r="207">
      <c r="A207" s="13" t="n"/>
      <c r="B207" s="14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9" t="n"/>
      <c r="M207" s="19" t="n"/>
      <c r="N207" s="13" t="n"/>
      <c r="O207" s="13" t="n"/>
    </row>
    <row r="208">
      <c r="A208" s="13" t="n"/>
      <c r="B208" s="14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9" t="n"/>
      <c r="M208" s="19" t="n"/>
      <c r="N208" s="13" t="n"/>
      <c r="O208" s="13" t="n"/>
    </row>
    <row r="209">
      <c r="A209" s="13" t="n"/>
      <c r="B209" s="14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9" t="n"/>
      <c r="M209" s="19" t="n"/>
      <c r="N209" s="13" t="n"/>
      <c r="O209" s="13" t="n"/>
    </row>
    <row r="210">
      <c r="A210" s="13" t="n"/>
      <c r="B210" s="14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9" t="n"/>
      <c r="M210" s="19" t="n"/>
      <c r="N210" s="13" t="n"/>
      <c r="O210" s="13" t="n"/>
    </row>
    <row r="211">
      <c r="A211" s="13" t="n"/>
      <c r="B211" s="14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9" t="n"/>
      <c r="M211" s="19" t="n"/>
      <c r="N211" s="13" t="n"/>
      <c r="O211" s="13" t="n"/>
    </row>
    <row r="212">
      <c r="A212" s="13" t="n"/>
      <c r="B212" s="14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9" t="n"/>
      <c r="M212" s="19" t="n"/>
      <c r="N212" s="13" t="n"/>
      <c r="O212" s="13" t="n"/>
    </row>
    <row r="213">
      <c r="A213" s="13" t="n"/>
      <c r="B213" s="14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9" t="n"/>
      <c r="M213" s="19" t="n"/>
      <c r="N213" s="13" t="n"/>
      <c r="O213" s="13" t="n"/>
    </row>
    <row r="214">
      <c r="A214" s="13" t="n"/>
      <c r="B214" s="14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9" t="n"/>
      <c r="M214" s="19" t="n"/>
      <c r="N214" s="13" t="n"/>
      <c r="O214" s="13" t="n"/>
    </row>
    <row r="215">
      <c r="A215" s="13" t="n"/>
      <c r="B215" s="14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9" t="n"/>
      <c r="M215" s="19" t="n"/>
      <c r="N215" s="13" t="n"/>
      <c r="O215" s="13" t="n"/>
    </row>
    <row r="216">
      <c r="A216" s="13" t="n"/>
      <c r="B216" s="14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9" t="n"/>
      <c r="M216" s="19" t="n"/>
      <c r="N216" s="13" t="n"/>
      <c r="O216" s="13" t="n"/>
    </row>
    <row r="217">
      <c r="A217" s="13" t="n"/>
      <c r="B217" s="14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9" t="n"/>
      <c r="M217" s="19" t="n"/>
      <c r="N217" s="13" t="n"/>
      <c r="O217" s="13" t="n"/>
    </row>
    <row r="218">
      <c r="A218" s="13" t="n"/>
      <c r="B218" s="14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9" t="n"/>
      <c r="M218" s="19" t="n"/>
      <c r="N218" s="13" t="n"/>
      <c r="O218" s="13" t="n"/>
    </row>
    <row r="219">
      <c r="A219" s="13" t="n"/>
      <c r="B219" s="14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9" t="n"/>
      <c r="M219" s="19" t="n"/>
      <c r="N219" s="13" t="n"/>
      <c r="O219" s="13" t="n"/>
    </row>
    <row r="220">
      <c r="A220" s="13" t="n"/>
      <c r="B220" s="14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9" t="n"/>
      <c r="M220" s="19" t="n"/>
      <c r="N220" s="13" t="n"/>
      <c r="O220" s="13" t="n"/>
    </row>
    <row r="221">
      <c r="A221" s="13" t="n"/>
      <c r="B221" s="14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9" t="n"/>
      <c r="M221" s="19" t="n"/>
      <c r="N221" s="13" t="n"/>
      <c r="O221" s="13" t="n"/>
    </row>
    <row r="222">
      <c r="A222" s="13" t="n"/>
      <c r="B222" s="14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9" t="n"/>
      <c r="M222" s="19" t="n"/>
      <c r="N222" s="13" t="n"/>
      <c r="O222" s="13" t="n"/>
    </row>
    <row r="223">
      <c r="A223" s="13" t="n"/>
      <c r="B223" s="14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9" t="n"/>
      <c r="M223" s="19" t="n"/>
      <c r="N223" s="13" t="n"/>
      <c r="O223" s="13" t="n"/>
    </row>
    <row r="224">
      <c r="A224" s="13" t="n"/>
      <c r="B224" s="14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9" t="n"/>
      <c r="M224" s="19" t="n"/>
      <c r="N224" s="13" t="n"/>
      <c r="O224" s="13" t="n"/>
    </row>
    <row r="225">
      <c r="A225" s="13" t="n"/>
      <c r="B225" s="14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9" t="n"/>
      <c r="M225" s="19" t="n"/>
      <c r="N225" s="13" t="n"/>
      <c r="O225" s="13" t="n"/>
    </row>
    <row r="226">
      <c r="A226" s="13" t="n"/>
      <c r="B226" s="14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9" t="n"/>
      <c r="M226" s="19" t="n"/>
      <c r="N226" s="13" t="n"/>
      <c r="O226" s="13" t="n"/>
    </row>
    <row r="227">
      <c r="A227" s="13" t="n"/>
      <c r="B227" s="14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9" t="n"/>
      <c r="M227" s="19" t="n"/>
      <c r="N227" s="13" t="n"/>
      <c r="O227" s="13" t="n"/>
    </row>
    <row r="228">
      <c r="A228" s="13" t="n"/>
      <c r="B228" s="14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9" t="n"/>
      <c r="M228" s="19" t="n"/>
      <c r="N228" s="13" t="n"/>
      <c r="O228" s="13" t="n"/>
    </row>
    <row r="229">
      <c r="A229" s="13" t="n"/>
      <c r="B229" s="14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9" t="n"/>
      <c r="M229" s="19" t="n"/>
      <c r="N229" s="13" t="n"/>
      <c r="O229" s="13" t="n"/>
    </row>
    <row r="230">
      <c r="A230" s="13" t="n"/>
      <c r="B230" s="14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9" t="n"/>
      <c r="M230" s="19" t="n"/>
      <c r="N230" s="13" t="n"/>
      <c r="O230" s="13" t="n"/>
    </row>
    <row r="231">
      <c r="A231" s="13" t="n"/>
      <c r="B231" s="14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9" t="n"/>
      <c r="M231" s="19" t="n"/>
      <c r="N231" s="13" t="n"/>
      <c r="O231" s="13" t="n"/>
    </row>
    <row r="232">
      <c r="A232" s="13" t="n"/>
      <c r="B232" s="14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9" t="n"/>
      <c r="M232" s="19" t="n"/>
      <c r="N232" s="13" t="n"/>
      <c r="O232" s="13" t="n"/>
    </row>
    <row r="233">
      <c r="A233" s="13" t="n"/>
      <c r="B233" s="14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9" t="n"/>
      <c r="M233" s="19" t="n"/>
      <c r="N233" s="13" t="n"/>
      <c r="O233" s="13" t="n"/>
    </row>
    <row r="234">
      <c r="A234" s="13" t="n"/>
      <c r="B234" s="14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9" t="n"/>
      <c r="M234" s="19" t="n"/>
      <c r="N234" s="13" t="n"/>
      <c r="O234" s="13" t="n"/>
    </row>
    <row r="235">
      <c r="A235" s="13" t="n"/>
      <c r="B235" s="14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9" t="n"/>
      <c r="M235" s="19" t="n"/>
      <c r="N235" s="13" t="n"/>
      <c r="O235" s="13" t="n"/>
    </row>
    <row r="236">
      <c r="A236" s="13" t="n"/>
      <c r="B236" s="14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9" t="n"/>
      <c r="M236" s="19" t="n"/>
      <c r="N236" s="13" t="n"/>
      <c r="O236" s="13" t="n"/>
    </row>
    <row r="237">
      <c r="A237" s="13" t="n"/>
      <c r="B237" s="14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9" t="n"/>
      <c r="M237" s="19" t="n"/>
      <c r="N237" s="13" t="n"/>
      <c r="O237" s="13" t="n"/>
    </row>
    <row r="238">
      <c r="A238" s="13" t="n"/>
      <c r="B238" s="14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9" t="n"/>
      <c r="M238" s="19" t="n"/>
      <c r="N238" s="13" t="n"/>
      <c r="O238" s="13" t="n"/>
    </row>
    <row r="239">
      <c r="A239" s="13" t="n"/>
      <c r="B239" s="14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9" t="n"/>
      <c r="M239" s="19" t="n"/>
      <c r="N239" s="13" t="n"/>
      <c r="O239" s="13" t="n"/>
    </row>
    <row r="240">
      <c r="A240" s="13" t="n"/>
      <c r="B240" s="14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9" t="n"/>
      <c r="M240" s="19" t="n"/>
      <c r="N240" s="13" t="n"/>
      <c r="O240" s="13" t="n"/>
    </row>
    <row r="241">
      <c r="A241" s="13" t="n"/>
      <c r="B241" s="14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9" t="n"/>
      <c r="M241" s="19" t="n"/>
      <c r="N241" s="13" t="n"/>
      <c r="O241" s="13" t="n"/>
    </row>
    <row r="242">
      <c r="A242" s="13" t="n"/>
      <c r="B242" s="14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9" t="n"/>
      <c r="M242" s="19" t="n"/>
      <c r="N242" s="13" t="n"/>
      <c r="O242" s="13" t="n"/>
    </row>
    <row r="243">
      <c r="A243" s="13" t="n"/>
      <c r="B243" s="14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9" t="n"/>
      <c r="M243" s="19" t="n"/>
      <c r="N243" s="13" t="n"/>
      <c r="O243" s="13" t="n"/>
    </row>
    <row r="244">
      <c r="A244" s="13" t="n"/>
      <c r="B244" s="14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9" t="n"/>
      <c r="M244" s="19" t="n"/>
      <c r="N244" s="13" t="n"/>
      <c r="O244" s="13" t="n"/>
    </row>
    <row r="245">
      <c r="A245" s="13" t="n"/>
      <c r="B245" s="14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9" t="n"/>
      <c r="M245" s="19" t="n"/>
      <c r="N245" s="13" t="n"/>
      <c r="O245" s="13" t="n"/>
    </row>
    <row r="246">
      <c r="A246" s="13" t="n"/>
      <c r="B246" s="14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9" t="n"/>
      <c r="M246" s="19" t="n"/>
      <c r="N246" s="13" t="n"/>
      <c r="O246" s="13" t="n"/>
    </row>
    <row r="247">
      <c r="A247" s="13" t="n"/>
      <c r="B247" s="14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9" t="n"/>
      <c r="M247" s="19" t="n"/>
      <c r="N247" s="13" t="n"/>
      <c r="O247" s="13" t="n"/>
    </row>
    <row r="248">
      <c r="A248" s="13" t="n"/>
      <c r="B248" s="14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9" t="n"/>
      <c r="M248" s="19" t="n"/>
      <c r="N248" s="13" t="n"/>
      <c r="O248" s="13" t="n"/>
    </row>
    <row r="249">
      <c r="A249" s="13" t="n"/>
      <c r="B249" s="14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9" t="n"/>
      <c r="M249" s="19" t="n"/>
      <c r="N249" s="13" t="n"/>
      <c r="O249" s="13" t="n"/>
    </row>
    <row r="250">
      <c r="A250" s="13" t="n"/>
      <c r="B250" s="14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9" t="n"/>
      <c r="M250" s="19" t="n"/>
      <c r="N250" s="13" t="n"/>
      <c r="O250" s="13" t="n"/>
    </row>
    <row r="251">
      <c r="A251" s="13" t="n"/>
      <c r="B251" s="14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9" t="n"/>
      <c r="M251" s="19" t="n"/>
      <c r="N251" s="13" t="n"/>
      <c r="O251" s="13" t="n"/>
    </row>
    <row r="252">
      <c r="A252" s="13" t="n"/>
      <c r="B252" s="14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9" t="n"/>
      <c r="M252" s="19" t="n"/>
      <c r="N252" s="13" t="n"/>
      <c r="O252" s="13" t="n"/>
    </row>
    <row r="253">
      <c r="A253" s="13" t="n"/>
      <c r="B253" s="14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9" t="n"/>
      <c r="M253" s="19" t="n"/>
      <c r="N253" s="13" t="n"/>
      <c r="O253" s="13" t="n"/>
    </row>
    <row r="254">
      <c r="A254" s="13" t="n"/>
      <c r="B254" s="14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9" t="n"/>
      <c r="M254" s="19" t="n"/>
      <c r="N254" s="13" t="n"/>
      <c r="O254" s="13" t="n"/>
    </row>
    <row r="255">
      <c r="A255" s="13" t="n"/>
      <c r="B255" s="14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9" t="n"/>
      <c r="M255" s="19" t="n"/>
      <c r="N255" s="13" t="n"/>
      <c r="O255" s="13" t="n"/>
    </row>
    <row r="256">
      <c r="A256" s="13" t="n"/>
      <c r="B256" s="14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9" t="n"/>
      <c r="M256" s="19" t="n"/>
      <c r="N256" s="13" t="n"/>
      <c r="O256" s="13" t="n"/>
    </row>
    <row r="257">
      <c r="A257" s="13" t="n"/>
      <c r="B257" s="14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9" t="n"/>
      <c r="M257" s="19" t="n"/>
      <c r="N257" s="13" t="n"/>
      <c r="O257" s="13" t="n"/>
    </row>
    <row r="258">
      <c r="A258" s="13" t="n"/>
      <c r="B258" s="14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9" t="n"/>
      <c r="M258" s="19" t="n"/>
      <c r="N258" s="13" t="n"/>
      <c r="O258" s="13" t="n"/>
    </row>
    <row r="259">
      <c r="A259" s="13" t="n"/>
      <c r="B259" s="14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9" t="n"/>
      <c r="M259" s="19" t="n"/>
      <c r="N259" s="13" t="n"/>
      <c r="O259" s="13" t="n"/>
    </row>
    <row r="260">
      <c r="A260" s="13" t="n"/>
      <c r="B260" s="14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9" t="n"/>
      <c r="M260" s="19" t="n"/>
      <c r="N260" s="13" t="n"/>
      <c r="O260" s="13" t="n"/>
    </row>
    <row r="261">
      <c r="A261" s="13" t="n"/>
      <c r="B261" s="14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9" t="n"/>
      <c r="M261" s="19" t="n"/>
      <c r="N261" s="13" t="n"/>
      <c r="O261" s="13" t="n"/>
    </row>
    <row r="262">
      <c r="A262" s="13" t="n"/>
      <c r="B262" s="14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9" t="n"/>
      <c r="M262" s="19" t="n"/>
      <c r="N262" s="13" t="n"/>
      <c r="O262" s="13" t="n"/>
    </row>
    <row r="263">
      <c r="A263" s="13" t="n"/>
      <c r="B263" s="14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9" t="n"/>
      <c r="M263" s="19" t="n"/>
      <c r="N263" s="13" t="n"/>
      <c r="O263" s="13" t="n"/>
    </row>
    <row r="264">
      <c r="A264" s="13" t="n"/>
      <c r="B264" s="14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9" t="n"/>
      <c r="M264" s="19" t="n"/>
      <c r="N264" s="13" t="n"/>
      <c r="O264" s="13" t="n"/>
    </row>
    <row r="265">
      <c r="A265" s="13" t="n"/>
      <c r="B265" s="14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9" t="n"/>
      <c r="M265" s="19" t="n"/>
      <c r="N265" s="13" t="n"/>
      <c r="O265" s="13" t="n"/>
    </row>
    <row r="266">
      <c r="A266" s="13" t="n"/>
      <c r="B266" s="14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9" t="n"/>
      <c r="M266" s="19" t="n"/>
      <c r="N266" s="13" t="n"/>
      <c r="O266" s="13" t="n"/>
    </row>
    <row r="267">
      <c r="A267" s="13" t="n"/>
      <c r="B267" s="14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9" t="n"/>
      <c r="M267" s="19" t="n"/>
      <c r="N267" s="13" t="n"/>
      <c r="O267" s="13" t="n"/>
    </row>
    <row r="268">
      <c r="A268" s="13" t="n"/>
      <c r="B268" s="14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9" t="n"/>
      <c r="M268" s="19" t="n"/>
      <c r="N268" s="13" t="n"/>
      <c r="O268" s="13" t="n"/>
    </row>
    <row r="269">
      <c r="A269" s="13" t="n"/>
      <c r="B269" s="14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9" t="n"/>
      <c r="M269" s="19" t="n"/>
      <c r="N269" s="13" t="n"/>
      <c r="O269" s="13" t="n"/>
    </row>
    <row r="270">
      <c r="A270" s="13" t="n"/>
      <c r="B270" s="14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9" t="n"/>
      <c r="M270" s="19" t="n"/>
      <c r="N270" s="13" t="n"/>
      <c r="O270" s="13" t="n"/>
    </row>
    <row r="271">
      <c r="A271" s="13" t="n"/>
      <c r="B271" s="14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9" t="n"/>
      <c r="M271" s="19" t="n"/>
      <c r="N271" s="13" t="n"/>
      <c r="O271" s="13" t="n"/>
    </row>
    <row r="272">
      <c r="A272" s="13" t="n"/>
      <c r="B272" s="14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9" t="n"/>
      <c r="M272" s="19" t="n"/>
      <c r="N272" s="13" t="n"/>
      <c r="O272" s="13" t="n"/>
    </row>
    <row r="273">
      <c r="A273" s="13" t="n"/>
      <c r="B273" s="14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9" t="n"/>
      <c r="M273" s="19" t="n"/>
      <c r="N273" s="13" t="n"/>
      <c r="O273" s="13" t="n"/>
    </row>
    <row r="274">
      <c r="A274" s="13" t="n"/>
      <c r="B274" s="14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9" t="n"/>
      <c r="M274" s="19" t="n"/>
      <c r="N274" s="13" t="n"/>
      <c r="O274" s="13" t="n"/>
    </row>
    <row r="275">
      <c r="A275" s="13" t="n"/>
      <c r="B275" s="14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9" t="n"/>
      <c r="M275" s="19" t="n"/>
      <c r="N275" s="13" t="n"/>
      <c r="O275" s="13" t="n"/>
    </row>
    <row r="276">
      <c r="A276" s="13" t="n"/>
      <c r="B276" s="14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9" t="n"/>
      <c r="M276" s="19" t="n"/>
      <c r="N276" s="13" t="n"/>
      <c r="O276" s="13" t="n"/>
    </row>
    <row r="277">
      <c r="A277" s="13" t="n"/>
      <c r="B277" s="14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9" t="n"/>
      <c r="M277" s="19" t="n"/>
      <c r="N277" s="13" t="n"/>
      <c r="O277" s="13" t="n"/>
    </row>
    <row r="278">
      <c r="A278" s="13" t="n"/>
      <c r="B278" s="14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9" t="n"/>
      <c r="M278" s="19" t="n"/>
      <c r="N278" s="13" t="n"/>
      <c r="O278" s="13" t="n"/>
    </row>
    <row r="279">
      <c r="A279" s="13" t="n"/>
      <c r="B279" s="14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9" t="n"/>
      <c r="M279" s="19" t="n"/>
      <c r="N279" s="13" t="n"/>
      <c r="O279" s="13" t="n"/>
    </row>
    <row r="280">
      <c r="A280" s="13" t="n"/>
      <c r="B280" s="14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9" t="n"/>
      <c r="M280" s="19" t="n"/>
      <c r="N280" s="13" t="n"/>
      <c r="O280" s="13" t="n"/>
    </row>
    <row r="281">
      <c r="A281" s="13" t="n"/>
      <c r="B281" s="14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9" t="n"/>
      <c r="M281" s="19" t="n"/>
      <c r="N281" s="13" t="n"/>
      <c r="O281" s="13" t="n"/>
    </row>
    <row r="282">
      <c r="A282" s="13" t="n"/>
      <c r="B282" s="14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9" t="n"/>
      <c r="M282" s="19" t="n"/>
      <c r="N282" s="13" t="n"/>
      <c r="O282" s="13" t="n"/>
    </row>
    <row r="283">
      <c r="A283" s="13" t="n"/>
      <c r="B283" s="14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9" t="n"/>
      <c r="M283" s="19" t="n"/>
      <c r="N283" s="13" t="n"/>
      <c r="O283" s="13" t="n"/>
    </row>
    <row r="284">
      <c r="A284" s="13" t="n"/>
      <c r="B284" s="14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9" t="n"/>
      <c r="M284" s="19" t="n"/>
      <c r="N284" s="13" t="n"/>
      <c r="O284" s="13" t="n"/>
    </row>
    <row r="285">
      <c r="A285" s="13" t="n"/>
      <c r="B285" s="14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9" t="n"/>
      <c r="M285" s="19" t="n"/>
      <c r="N285" s="13" t="n"/>
      <c r="O285" s="13" t="n"/>
    </row>
    <row r="286">
      <c r="A286" s="13" t="n"/>
      <c r="B286" s="14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9" t="n"/>
      <c r="M286" s="19" t="n"/>
      <c r="N286" s="13" t="n"/>
      <c r="O286" s="13" t="n"/>
    </row>
    <row r="287">
      <c r="A287" s="13" t="n"/>
      <c r="B287" s="14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9" t="n"/>
      <c r="M287" s="19" t="n"/>
      <c r="N287" s="13" t="n"/>
      <c r="O287" s="13" t="n"/>
    </row>
    <row r="288">
      <c r="A288" s="13" t="n"/>
      <c r="B288" s="14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9" t="n"/>
      <c r="M288" s="19" t="n"/>
      <c r="N288" s="13" t="n"/>
      <c r="O288" s="13" t="n"/>
    </row>
    <row r="289">
      <c r="A289" s="13" t="n"/>
      <c r="B289" s="14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9" t="n"/>
      <c r="M289" s="19" t="n"/>
      <c r="N289" s="13" t="n"/>
      <c r="O289" s="13" t="n"/>
    </row>
    <row r="290">
      <c r="A290" s="13" t="n"/>
      <c r="B290" s="14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9" t="n"/>
      <c r="M290" s="19" t="n"/>
      <c r="N290" s="13" t="n"/>
      <c r="O290" s="13" t="n"/>
    </row>
    <row r="291">
      <c r="A291" s="13" t="n"/>
      <c r="B291" s="14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9" t="n"/>
      <c r="M291" s="19" t="n"/>
      <c r="N291" s="13" t="n"/>
      <c r="O291" s="13" t="n"/>
    </row>
    <row r="292">
      <c r="A292" s="13" t="n"/>
      <c r="B292" s="14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9" t="n"/>
      <c r="M292" s="19" t="n"/>
      <c r="N292" s="13" t="n"/>
      <c r="O292" s="13" t="n"/>
    </row>
    <row r="293">
      <c r="A293" s="13" t="n"/>
      <c r="B293" s="14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9" t="n"/>
      <c r="M293" s="19" t="n"/>
      <c r="N293" s="13" t="n"/>
      <c r="O293" s="13" t="n"/>
    </row>
    <row r="294">
      <c r="A294" s="13" t="n"/>
      <c r="B294" s="14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9" t="n"/>
      <c r="M294" s="19" t="n"/>
      <c r="N294" s="13" t="n"/>
      <c r="O294" s="13" t="n"/>
    </row>
    <row r="295">
      <c r="A295" s="13" t="n"/>
      <c r="B295" s="14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9" t="n"/>
      <c r="M295" s="19" t="n"/>
      <c r="N295" s="13" t="n"/>
      <c r="O295" s="13" t="n"/>
    </row>
    <row r="296">
      <c r="A296" s="13" t="n"/>
      <c r="B296" s="14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9" t="n"/>
      <c r="M296" s="19" t="n"/>
      <c r="N296" s="13" t="n"/>
      <c r="O296" s="13" t="n"/>
    </row>
    <row r="297">
      <c r="A297" s="13" t="n"/>
      <c r="B297" s="14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9" t="n"/>
      <c r="M297" s="19" t="n"/>
      <c r="N297" s="13" t="n"/>
      <c r="O297" s="13" t="n"/>
    </row>
    <row r="298">
      <c r="A298" s="13" t="n"/>
      <c r="B298" s="14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9" t="n"/>
      <c r="M298" s="19" t="n"/>
      <c r="N298" s="13" t="n"/>
      <c r="O298" s="13" t="n"/>
    </row>
    <row r="299">
      <c r="A299" s="13" t="n"/>
      <c r="B299" s="14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9" t="n"/>
      <c r="M299" s="19" t="n"/>
      <c r="N299" s="13" t="n"/>
      <c r="O299" s="13" t="n"/>
    </row>
    <row r="300">
      <c r="A300" s="13" t="n"/>
      <c r="B300" s="14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9" t="n"/>
      <c r="M300" s="19" t="n"/>
      <c r="N300" s="13" t="n"/>
      <c r="O300" s="13" t="n"/>
    </row>
    <row r="301">
      <c r="A301" s="13" t="n"/>
      <c r="B301" s="14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9" t="n"/>
      <c r="M301" s="19" t="n"/>
      <c r="N301" s="13" t="n"/>
      <c r="O301" s="13" t="n"/>
    </row>
    <row r="302">
      <c r="A302" s="13" t="n"/>
      <c r="B302" s="14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9" t="n"/>
      <c r="M302" s="19" t="n"/>
      <c r="N302" s="13" t="n"/>
      <c r="O302" s="13" t="n"/>
    </row>
    <row r="303">
      <c r="A303" s="13" t="n"/>
      <c r="B303" s="14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9" t="n"/>
      <c r="M303" s="19" t="n"/>
      <c r="N303" s="13" t="n"/>
      <c r="O303" s="13" t="n"/>
    </row>
    <row r="304">
      <c r="A304" s="13" t="n"/>
      <c r="B304" s="14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9" t="n"/>
      <c r="M304" s="19" t="n"/>
      <c r="N304" s="13" t="n"/>
      <c r="O304" s="13" t="n"/>
    </row>
    <row r="305">
      <c r="A305" s="13" t="n"/>
      <c r="B305" s="14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9" t="n"/>
      <c r="M305" s="19" t="n"/>
      <c r="N305" s="13" t="n"/>
      <c r="O305" s="13" t="n"/>
    </row>
    <row r="306">
      <c r="A306" s="13" t="n"/>
      <c r="B306" s="14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9" t="n"/>
      <c r="M306" s="19" t="n"/>
      <c r="N306" s="13" t="n"/>
      <c r="O306" s="13" t="n"/>
    </row>
    <row r="307">
      <c r="A307" s="13" t="n"/>
      <c r="B307" s="14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9" t="n"/>
      <c r="M307" s="19" t="n"/>
      <c r="N307" s="13" t="n"/>
      <c r="O307" s="13" t="n"/>
    </row>
    <row r="308">
      <c r="A308" s="13" t="n"/>
      <c r="B308" s="14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9" t="n"/>
      <c r="M308" s="19" t="n"/>
      <c r="N308" s="13" t="n"/>
      <c r="O308" s="13" t="n"/>
    </row>
    <row r="309">
      <c r="A309" s="13" t="n"/>
      <c r="B309" s="14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9" t="n"/>
      <c r="M309" s="19" t="n"/>
      <c r="N309" s="13" t="n"/>
      <c r="O309" s="13" t="n"/>
    </row>
    <row r="310">
      <c r="A310" s="13" t="n"/>
      <c r="B310" s="14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9" t="n"/>
      <c r="M310" s="19" t="n"/>
      <c r="N310" s="13" t="n"/>
      <c r="O310" s="13" t="n"/>
    </row>
    <row r="311">
      <c r="A311" s="13" t="n"/>
      <c r="B311" s="14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9" t="n"/>
      <c r="M311" s="19" t="n"/>
      <c r="N311" s="13" t="n"/>
      <c r="O311" s="13" t="n"/>
    </row>
    <row r="312">
      <c r="A312" s="13" t="n"/>
      <c r="B312" s="14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9" t="n"/>
      <c r="M312" s="19" t="n"/>
      <c r="N312" s="13" t="n"/>
      <c r="O312" s="13" t="n"/>
    </row>
    <row r="313">
      <c r="A313" s="13" t="n"/>
      <c r="B313" s="14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9" t="n"/>
      <c r="M313" s="19" t="n"/>
      <c r="N313" s="13" t="n"/>
      <c r="O313" s="13" t="n"/>
    </row>
    <row r="314">
      <c r="A314" s="13" t="n"/>
      <c r="B314" s="14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9" t="n"/>
      <c r="M314" s="19" t="n"/>
      <c r="N314" s="13" t="n"/>
      <c r="O314" s="13" t="n"/>
    </row>
    <row r="315">
      <c r="A315" s="13" t="n"/>
      <c r="B315" s="14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9" t="n"/>
      <c r="M315" s="19" t="n"/>
      <c r="N315" s="13" t="n"/>
      <c r="O315" s="13" t="n"/>
    </row>
    <row r="316">
      <c r="A316" s="13" t="n"/>
      <c r="B316" s="14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9" t="n"/>
      <c r="M316" s="19" t="n"/>
      <c r="N316" s="13" t="n"/>
      <c r="O316" s="13" t="n"/>
    </row>
    <row r="317">
      <c r="A317" s="13" t="n"/>
      <c r="B317" s="14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9" t="n"/>
      <c r="M317" s="19" t="n"/>
      <c r="N317" s="13" t="n"/>
      <c r="O317" s="13" t="n"/>
    </row>
    <row r="318">
      <c r="A318" s="13" t="n"/>
      <c r="B318" s="14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9" t="n"/>
      <c r="M318" s="19" t="n"/>
      <c r="N318" s="13" t="n"/>
      <c r="O318" s="13" t="n"/>
    </row>
    <row r="319">
      <c r="A319" s="13" t="n"/>
      <c r="B319" s="14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9" t="n"/>
      <c r="M319" s="19" t="n"/>
      <c r="N319" s="13" t="n"/>
      <c r="O319" s="13" t="n"/>
    </row>
    <row r="320">
      <c r="A320" s="13" t="n"/>
      <c r="B320" s="14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9" t="n"/>
      <c r="M320" s="19" t="n"/>
      <c r="N320" s="13" t="n"/>
      <c r="O320" s="13" t="n"/>
    </row>
    <row r="321">
      <c r="A321" s="13" t="n"/>
      <c r="B321" s="14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9" t="n"/>
      <c r="M321" s="19" t="n"/>
      <c r="N321" s="13" t="n"/>
      <c r="O321" s="13" t="n"/>
    </row>
    <row r="322">
      <c r="A322" s="13" t="n"/>
      <c r="B322" s="14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9" t="n"/>
      <c r="M322" s="19" t="n"/>
      <c r="N322" s="13" t="n"/>
      <c r="O322" s="13" t="n"/>
    </row>
    <row r="323">
      <c r="A323" s="13" t="n"/>
      <c r="B323" s="14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9" t="n"/>
      <c r="M323" s="19" t="n"/>
      <c r="N323" s="13" t="n"/>
      <c r="O323" s="13" t="n"/>
    </row>
    <row r="324">
      <c r="A324" s="13" t="n"/>
      <c r="B324" s="14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9" t="n"/>
      <c r="M324" s="19" t="n"/>
      <c r="N324" s="13" t="n"/>
      <c r="O324" s="13" t="n"/>
    </row>
    <row r="325">
      <c r="A325" s="13" t="n"/>
      <c r="B325" s="14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9" t="n"/>
      <c r="M325" s="19" t="n"/>
      <c r="N325" s="13" t="n"/>
      <c r="O325" s="13" t="n"/>
    </row>
    <row r="326">
      <c r="A326" s="13" t="n"/>
      <c r="B326" s="14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9" t="n"/>
      <c r="M326" s="19" t="n"/>
      <c r="N326" s="13" t="n"/>
      <c r="O326" s="13" t="n"/>
    </row>
    <row r="327">
      <c r="A327" s="13" t="n"/>
      <c r="B327" s="14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9" t="n"/>
      <c r="M327" s="19" t="n"/>
      <c r="N327" s="13" t="n"/>
      <c r="O327" s="13" t="n"/>
    </row>
    <row r="328">
      <c r="A328" s="13" t="n"/>
      <c r="B328" s="14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9" t="n"/>
      <c r="M328" s="19" t="n"/>
      <c r="N328" s="13" t="n"/>
      <c r="O328" s="13" t="n"/>
    </row>
    <row r="329">
      <c r="A329" s="13" t="n"/>
      <c r="B329" s="14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9" t="n"/>
      <c r="M329" s="19" t="n"/>
      <c r="N329" s="13" t="n"/>
      <c r="O329" s="13" t="n"/>
    </row>
    <row r="330">
      <c r="A330" s="13" t="n"/>
      <c r="B330" s="14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9" t="n"/>
      <c r="M330" s="19" t="n"/>
      <c r="N330" s="13" t="n"/>
      <c r="O330" s="13" t="n"/>
    </row>
    <row r="331">
      <c r="A331" s="13" t="n"/>
      <c r="B331" s="14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9" t="n"/>
      <c r="M331" s="19" t="n"/>
      <c r="N331" s="13" t="n"/>
      <c r="O331" s="13" t="n"/>
    </row>
    <row r="332">
      <c r="A332" s="13" t="n"/>
      <c r="B332" s="14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9" t="n"/>
      <c r="M332" s="19" t="n"/>
      <c r="N332" s="13" t="n"/>
      <c r="O332" s="13" t="n"/>
    </row>
    <row r="333">
      <c r="A333" s="13" t="n"/>
      <c r="B333" s="14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9" t="n"/>
      <c r="M333" s="19" t="n"/>
      <c r="N333" s="13" t="n"/>
      <c r="O333" s="13" t="n"/>
    </row>
    <row r="334">
      <c r="A334" s="13" t="n"/>
      <c r="B334" s="14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9" t="n"/>
      <c r="M334" s="19" t="n"/>
      <c r="N334" s="13" t="n"/>
      <c r="O334" s="13" t="n"/>
    </row>
    <row r="335">
      <c r="A335" s="13" t="n"/>
      <c r="B335" s="14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9" t="n"/>
      <c r="M335" s="19" t="n"/>
      <c r="N335" s="13" t="n"/>
      <c r="O335" s="13" t="n"/>
    </row>
    <row r="336">
      <c r="A336" s="13" t="n"/>
      <c r="B336" s="14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9" t="n"/>
      <c r="M336" s="19" t="n"/>
      <c r="N336" s="13" t="n"/>
      <c r="O336" s="13" t="n"/>
    </row>
    <row r="337">
      <c r="A337" s="13" t="n"/>
      <c r="B337" s="14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9" t="n"/>
      <c r="M337" s="19" t="n"/>
      <c r="N337" s="13" t="n"/>
      <c r="O337" s="13" t="n"/>
    </row>
    <row r="338">
      <c r="A338" s="13" t="n"/>
      <c r="B338" s="14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9" t="n"/>
      <c r="M338" s="19" t="n"/>
      <c r="N338" s="13" t="n"/>
      <c r="O338" s="13" t="n"/>
    </row>
    <row r="339">
      <c r="A339" s="13" t="n"/>
      <c r="B339" s="14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9" t="n"/>
      <c r="M339" s="19" t="n"/>
      <c r="N339" s="13" t="n"/>
      <c r="O339" s="13" t="n"/>
    </row>
    <row r="340">
      <c r="A340" s="13" t="n"/>
      <c r="B340" s="14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9" t="n"/>
      <c r="M340" s="19" t="n"/>
      <c r="N340" s="13" t="n"/>
      <c r="O340" s="13" t="n"/>
    </row>
    <row r="341">
      <c r="A341" s="13" t="n"/>
      <c r="B341" s="14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9" t="n"/>
      <c r="M341" s="19" t="n"/>
      <c r="N341" s="13" t="n"/>
      <c r="O341" s="13" t="n"/>
    </row>
    <row r="342">
      <c r="A342" s="13" t="n"/>
      <c r="B342" s="14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9" t="n"/>
      <c r="M342" s="19" t="n"/>
      <c r="N342" s="13" t="n"/>
      <c r="O342" s="13" t="n"/>
    </row>
    <row r="343">
      <c r="A343" s="13" t="n"/>
      <c r="B343" s="14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9" t="n"/>
      <c r="M343" s="19" t="n"/>
      <c r="N343" s="13" t="n"/>
      <c r="O343" s="13" t="n"/>
    </row>
    <row r="344">
      <c r="A344" s="13" t="n"/>
      <c r="B344" s="14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9" t="n"/>
      <c r="M344" s="19" t="n"/>
      <c r="N344" s="13" t="n"/>
      <c r="O344" s="13" t="n"/>
    </row>
    <row r="345">
      <c r="A345" s="13" t="n"/>
      <c r="B345" s="14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9" t="n"/>
      <c r="M345" s="19" t="n"/>
      <c r="N345" s="13" t="n"/>
      <c r="O345" s="13" t="n"/>
    </row>
    <row r="346">
      <c r="A346" s="13" t="n"/>
      <c r="B346" s="14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9" t="n"/>
      <c r="M346" s="19" t="n"/>
      <c r="N346" s="13" t="n"/>
      <c r="O346" s="13" t="n"/>
    </row>
    <row r="347">
      <c r="A347" s="13" t="n"/>
      <c r="B347" s="14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9" t="n"/>
      <c r="M347" s="19" t="n"/>
      <c r="N347" s="13" t="n"/>
      <c r="O347" s="13" t="n"/>
    </row>
    <row r="348">
      <c r="A348" s="13" t="n"/>
      <c r="B348" s="14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9" t="n"/>
      <c r="M348" s="19" t="n"/>
      <c r="N348" s="13" t="n"/>
      <c r="O348" s="13" t="n"/>
    </row>
    <row r="349">
      <c r="A349" s="13" t="n"/>
      <c r="B349" s="14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9" t="n"/>
      <c r="M349" s="19" t="n"/>
      <c r="N349" s="13" t="n"/>
      <c r="O349" s="13" t="n"/>
    </row>
    <row r="350">
      <c r="A350" s="13" t="n"/>
      <c r="B350" s="14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9" t="n"/>
      <c r="M350" s="19" t="n"/>
      <c r="N350" s="13" t="n"/>
      <c r="O350" s="13" t="n"/>
    </row>
    <row r="351">
      <c r="A351" s="13" t="n"/>
      <c r="B351" s="14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9" t="n"/>
      <c r="M351" s="19" t="n"/>
      <c r="N351" s="13" t="n"/>
      <c r="O351" s="13" t="n"/>
    </row>
    <row r="352">
      <c r="A352" s="13" t="n"/>
      <c r="B352" s="14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9" t="n"/>
      <c r="M352" s="19" t="n"/>
      <c r="N352" s="13" t="n"/>
      <c r="O352" s="13" t="n"/>
    </row>
    <row r="353">
      <c r="A353" s="13" t="n"/>
      <c r="B353" s="14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9" t="n"/>
      <c r="M353" s="19" t="n"/>
      <c r="N353" s="13" t="n"/>
      <c r="O353" s="13" t="n"/>
    </row>
    <row r="354">
      <c r="A354" s="13" t="n"/>
      <c r="B354" s="14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9" t="n"/>
      <c r="M354" s="19" t="n"/>
      <c r="N354" s="13" t="n"/>
      <c r="O354" s="13" t="n"/>
    </row>
    <row r="355">
      <c r="A355" s="13" t="n"/>
      <c r="B355" s="14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9" t="n"/>
      <c r="M355" s="19" t="n"/>
      <c r="N355" s="13" t="n"/>
      <c r="O355" s="13" t="n"/>
    </row>
    <row r="356">
      <c r="A356" s="13" t="n"/>
      <c r="B356" s="14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9" t="n"/>
      <c r="M356" s="19" t="n"/>
      <c r="N356" s="13" t="n"/>
      <c r="O356" s="13" t="n"/>
    </row>
    <row r="357">
      <c r="A357" s="13" t="n"/>
      <c r="B357" s="14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9" t="n"/>
      <c r="M357" s="19" t="n"/>
      <c r="N357" s="13" t="n"/>
      <c r="O357" s="13" t="n"/>
    </row>
    <row r="358">
      <c r="A358" s="13" t="n"/>
      <c r="B358" s="14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9" t="n"/>
      <c r="M358" s="19" t="n"/>
      <c r="N358" s="13" t="n"/>
      <c r="O358" s="13" t="n"/>
    </row>
    <row r="359">
      <c r="A359" s="13" t="n"/>
      <c r="B359" s="14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9" t="n"/>
      <c r="M359" s="19" t="n"/>
      <c r="N359" s="13" t="n"/>
      <c r="O359" s="13" t="n"/>
    </row>
    <row r="360">
      <c r="A360" s="13" t="n"/>
      <c r="B360" s="14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9" t="n"/>
      <c r="M360" s="19" t="n"/>
      <c r="N360" s="13" t="n"/>
      <c r="O360" s="13" t="n"/>
    </row>
    <row r="361">
      <c r="A361" s="13" t="n"/>
      <c r="B361" s="14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9" t="n"/>
      <c r="M361" s="19" t="n"/>
      <c r="N361" s="13" t="n"/>
      <c r="O361" s="13" t="n"/>
    </row>
    <row r="362">
      <c r="A362" s="13" t="n"/>
      <c r="B362" s="14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9" t="n"/>
      <c r="M362" s="19" t="n"/>
      <c r="N362" s="13" t="n"/>
      <c r="O362" s="13" t="n"/>
    </row>
    <row r="363">
      <c r="A363" s="13" t="n"/>
      <c r="B363" s="14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9" t="n"/>
      <c r="M363" s="19" t="n"/>
      <c r="N363" s="13" t="n"/>
      <c r="O363" s="13" t="n"/>
    </row>
    <row r="364">
      <c r="A364" s="13" t="n"/>
      <c r="B364" s="14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9" t="n"/>
      <c r="M364" s="19" t="n"/>
      <c r="N364" s="13" t="n"/>
      <c r="O364" s="13" t="n"/>
    </row>
    <row r="365">
      <c r="A365" s="13" t="n"/>
      <c r="B365" s="14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9" t="n"/>
      <c r="M365" s="19" t="n"/>
      <c r="N365" s="13" t="n"/>
      <c r="O365" s="13" t="n"/>
    </row>
    <row r="366">
      <c r="A366" s="13" t="n"/>
      <c r="B366" s="14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9" t="n"/>
      <c r="M366" s="19" t="n"/>
      <c r="N366" s="13" t="n"/>
      <c r="O366" s="13" t="n"/>
    </row>
    <row r="367">
      <c r="A367" s="13" t="n"/>
      <c r="B367" s="14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9" t="n"/>
      <c r="M367" s="19" t="n"/>
      <c r="N367" s="13" t="n"/>
      <c r="O367" s="13" t="n"/>
    </row>
    <row r="368">
      <c r="A368" s="13" t="n"/>
      <c r="B368" s="14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9" t="n"/>
      <c r="M368" s="19" t="n"/>
      <c r="N368" s="13" t="n"/>
      <c r="O368" s="13" t="n"/>
    </row>
    <row r="369">
      <c r="A369" s="13" t="n"/>
      <c r="B369" s="14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9" t="n"/>
      <c r="M369" s="19" t="n"/>
      <c r="N369" s="13" t="n"/>
      <c r="O369" s="13" t="n"/>
    </row>
    <row r="370">
      <c r="A370" s="13" t="n"/>
      <c r="B370" s="14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9" t="n"/>
      <c r="M370" s="19" t="n"/>
      <c r="N370" s="13" t="n"/>
      <c r="O370" s="13" t="n"/>
    </row>
    <row r="371">
      <c r="A371" s="13" t="n"/>
      <c r="B371" s="14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9" t="n"/>
      <c r="M371" s="19" t="n"/>
      <c r="N371" s="13" t="n"/>
      <c r="O371" s="13" t="n"/>
    </row>
    <row r="372">
      <c r="A372" s="13" t="n"/>
      <c r="B372" s="14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9" t="n"/>
      <c r="M372" s="19" t="n"/>
      <c r="N372" s="13" t="n"/>
      <c r="O372" s="13" t="n"/>
    </row>
    <row r="373">
      <c r="A373" s="13" t="n"/>
      <c r="B373" s="14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9" t="n"/>
      <c r="M373" s="19" t="n"/>
      <c r="N373" s="13" t="n"/>
      <c r="O373" s="13" t="n"/>
    </row>
    <row r="374">
      <c r="A374" s="13" t="n"/>
      <c r="B374" s="14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9" t="n"/>
      <c r="M374" s="19" t="n"/>
      <c r="N374" s="13" t="n"/>
      <c r="O374" s="13" t="n"/>
    </row>
    <row r="375">
      <c r="A375" s="13" t="n"/>
      <c r="B375" s="14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9" t="n"/>
      <c r="M375" s="19" t="n"/>
      <c r="N375" s="13" t="n"/>
      <c r="O375" s="13" t="n"/>
    </row>
    <row r="376">
      <c r="A376" s="13" t="n"/>
      <c r="B376" s="14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9" t="n"/>
      <c r="M376" s="19" t="n"/>
      <c r="N376" s="13" t="n"/>
      <c r="O376" s="13" t="n"/>
    </row>
    <row r="377">
      <c r="A377" s="13" t="n"/>
      <c r="B377" s="14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9" t="n"/>
      <c r="M377" s="19" t="n"/>
      <c r="N377" s="13" t="n"/>
      <c r="O377" s="13" t="n"/>
    </row>
    <row r="378">
      <c r="A378" s="13" t="n"/>
      <c r="B378" s="14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9" t="n"/>
      <c r="M378" s="19" t="n"/>
      <c r="N378" s="13" t="n"/>
      <c r="O378" s="13" t="n"/>
    </row>
    <row r="379">
      <c r="A379" s="13" t="n"/>
      <c r="B379" s="14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9" t="n"/>
      <c r="M379" s="19" t="n"/>
      <c r="N379" s="13" t="n"/>
      <c r="O379" s="13" t="n"/>
    </row>
    <row r="380">
      <c r="A380" s="13" t="n"/>
      <c r="B380" s="14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9" t="n"/>
      <c r="M380" s="19" t="n"/>
      <c r="N380" s="13" t="n"/>
      <c r="O380" s="13" t="n"/>
    </row>
    <row r="381">
      <c r="A381" s="13" t="n"/>
      <c r="B381" s="14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9" t="n"/>
      <c r="M381" s="19" t="n"/>
      <c r="N381" s="13" t="n"/>
      <c r="O381" s="13" t="n"/>
    </row>
    <row r="382">
      <c r="A382" s="13" t="n"/>
      <c r="B382" s="14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9" t="n"/>
      <c r="M382" s="19" t="n"/>
      <c r="N382" s="13" t="n"/>
      <c r="O382" s="13" t="n"/>
    </row>
    <row r="383">
      <c r="A383" s="13" t="n"/>
      <c r="B383" s="14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9" t="n"/>
      <c r="M383" s="19" t="n"/>
      <c r="N383" s="13" t="n"/>
      <c r="O383" s="13" t="n"/>
    </row>
    <row r="384">
      <c r="A384" s="13" t="n"/>
      <c r="B384" s="14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9" t="n"/>
      <c r="M384" s="19" t="n"/>
      <c r="N384" s="13" t="n"/>
      <c r="O384" s="13" t="n"/>
    </row>
    <row r="385">
      <c r="A385" s="13" t="n"/>
      <c r="B385" s="14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9" t="n"/>
      <c r="M385" s="19" t="n"/>
      <c r="N385" s="13" t="n"/>
      <c r="O385" s="13" t="n"/>
    </row>
    <row r="386">
      <c r="A386" s="13" t="n"/>
      <c r="B386" s="14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9" t="n"/>
      <c r="M386" s="19" t="n"/>
      <c r="N386" s="13" t="n"/>
      <c r="O386" s="13" t="n"/>
    </row>
    <row r="387">
      <c r="A387" s="13" t="n"/>
      <c r="B387" s="14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9" t="n"/>
      <c r="M387" s="19" t="n"/>
      <c r="N387" s="13" t="n"/>
      <c r="O387" s="13" t="n"/>
    </row>
    <row r="388">
      <c r="A388" s="13" t="n"/>
      <c r="B388" s="14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9" t="n"/>
      <c r="M388" s="19" t="n"/>
      <c r="N388" s="13" t="n"/>
      <c r="O388" s="13" t="n"/>
    </row>
    <row r="389">
      <c r="A389" s="13" t="n"/>
      <c r="B389" s="14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9" t="n"/>
      <c r="M389" s="19" t="n"/>
      <c r="N389" s="13" t="n"/>
      <c r="O389" s="13" t="n"/>
    </row>
    <row r="390">
      <c r="A390" s="13" t="n"/>
      <c r="B390" s="14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9" t="n"/>
      <c r="M390" s="19" t="n"/>
      <c r="N390" s="13" t="n"/>
      <c r="O390" s="13" t="n"/>
    </row>
    <row r="391">
      <c r="A391" s="13" t="n"/>
      <c r="B391" s="14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9" t="n"/>
      <c r="M391" s="19" t="n"/>
      <c r="N391" s="13" t="n"/>
      <c r="O391" s="13" t="n"/>
    </row>
    <row r="392">
      <c r="A392" s="13" t="n"/>
      <c r="B392" s="14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9" t="n"/>
      <c r="M392" s="19" t="n"/>
      <c r="N392" s="13" t="n"/>
      <c r="O392" s="13" t="n"/>
    </row>
    <row r="393">
      <c r="A393" s="13" t="n"/>
      <c r="B393" s="14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9" t="n"/>
      <c r="M393" s="19" t="n"/>
      <c r="N393" s="13" t="n"/>
      <c r="O393" s="13" t="n"/>
    </row>
    <row r="394">
      <c r="A394" s="13" t="n"/>
      <c r="B394" s="14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9" t="n"/>
      <c r="M394" s="19" t="n"/>
      <c r="N394" s="13" t="n"/>
      <c r="O394" s="13" t="n"/>
    </row>
    <row r="395">
      <c r="A395" s="13" t="n"/>
      <c r="B395" s="14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9" t="n"/>
      <c r="M395" s="19" t="n"/>
      <c r="N395" s="13" t="n"/>
      <c r="O395" s="13" t="n"/>
    </row>
    <row r="396">
      <c r="A396" s="13" t="n"/>
      <c r="B396" s="14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9" t="n"/>
      <c r="M396" s="19" t="n"/>
      <c r="N396" s="13" t="n"/>
      <c r="O396" s="13" t="n"/>
    </row>
    <row r="397">
      <c r="A397" s="13" t="n"/>
      <c r="B397" s="14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9" t="n"/>
      <c r="M397" s="19" t="n"/>
      <c r="N397" s="13" t="n"/>
      <c r="O397" s="13" t="n"/>
    </row>
    <row r="398">
      <c r="A398" s="13" t="n"/>
      <c r="B398" s="14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9" t="n"/>
      <c r="M398" s="19" t="n"/>
      <c r="N398" s="13" t="n"/>
      <c r="O398" s="13" t="n"/>
    </row>
    <row r="399">
      <c r="A399" s="13" t="n"/>
      <c r="B399" s="14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9" t="n"/>
      <c r="M399" s="19" t="n"/>
      <c r="N399" s="13" t="n"/>
      <c r="O399" s="13" t="n"/>
    </row>
    <row r="400">
      <c r="A400" s="13" t="n"/>
      <c r="B400" s="14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9" t="n"/>
      <c r="M400" s="19" t="n"/>
      <c r="N400" s="13" t="n"/>
      <c r="O400" s="13" t="n"/>
    </row>
    <row r="401">
      <c r="A401" s="13" t="n"/>
      <c r="B401" s="14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9" t="n"/>
      <c r="M401" s="19" t="n"/>
      <c r="N401" s="13" t="n"/>
      <c r="O401" s="13" t="n"/>
    </row>
    <row r="402">
      <c r="A402" s="13" t="n"/>
      <c r="B402" s="14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9" t="n"/>
      <c r="M402" s="19" t="n"/>
      <c r="N402" s="13" t="n"/>
      <c r="O402" s="13" t="n"/>
    </row>
    <row r="403">
      <c r="A403" s="13" t="n"/>
      <c r="B403" s="14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9" t="n"/>
      <c r="M403" s="19" t="n"/>
      <c r="N403" s="13" t="n"/>
      <c r="O403" s="13" t="n"/>
    </row>
    <row r="404">
      <c r="A404" s="13" t="n"/>
      <c r="B404" s="14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9" t="n"/>
      <c r="M404" s="19" t="n"/>
      <c r="N404" s="13" t="n"/>
      <c r="O404" s="13" t="n"/>
    </row>
    <row r="405">
      <c r="A405" s="13" t="n"/>
      <c r="B405" s="14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9" t="n"/>
      <c r="M405" s="19" t="n"/>
      <c r="N405" s="13" t="n"/>
      <c r="O405" s="13" t="n"/>
    </row>
    <row r="406">
      <c r="A406" s="13" t="n"/>
      <c r="B406" s="14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9" t="n"/>
      <c r="M406" s="19" t="n"/>
      <c r="N406" s="13" t="n"/>
      <c r="O406" s="13" t="n"/>
    </row>
    <row r="407">
      <c r="A407" s="13" t="n"/>
      <c r="B407" s="14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9" t="n"/>
      <c r="M407" s="19" t="n"/>
      <c r="N407" s="13" t="n"/>
      <c r="O407" s="13" t="n"/>
    </row>
    <row r="408">
      <c r="A408" s="13" t="n"/>
      <c r="B408" s="14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9" t="n"/>
      <c r="M408" s="19" t="n"/>
      <c r="N408" s="13" t="n"/>
      <c r="O408" s="13" t="n"/>
    </row>
    <row r="409">
      <c r="A409" s="13" t="n"/>
      <c r="B409" s="14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9" t="n"/>
      <c r="M409" s="19" t="n"/>
      <c r="N409" s="13" t="n"/>
      <c r="O409" s="13" t="n"/>
    </row>
    <row r="410">
      <c r="A410" s="13" t="n"/>
      <c r="B410" s="14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9" t="n"/>
      <c r="M410" s="19" t="n"/>
      <c r="N410" s="13" t="n"/>
      <c r="O410" s="13" t="n"/>
    </row>
    <row r="411">
      <c r="A411" s="13" t="n"/>
      <c r="B411" s="14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9" t="n"/>
      <c r="M411" s="19" t="n"/>
      <c r="N411" s="13" t="n"/>
      <c r="O411" s="13" t="n"/>
    </row>
    <row r="412">
      <c r="A412" s="13" t="n"/>
      <c r="B412" s="14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9" t="n"/>
      <c r="M412" s="19" t="n"/>
      <c r="N412" s="13" t="n"/>
      <c r="O412" s="13" t="n"/>
    </row>
    <row r="413">
      <c r="A413" s="13" t="n"/>
      <c r="B413" s="14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9" t="n"/>
      <c r="M413" s="19" t="n"/>
      <c r="N413" s="13" t="n"/>
      <c r="O413" s="13" t="n"/>
    </row>
    <row r="414">
      <c r="A414" s="13" t="n"/>
      <c r="B414" s="14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9" t="n"/>
      <c r="M414" s="19" t="n"/>
      <c r="N414" s="13" t="n"/>
      <c r="O414" s="13" t="n"/>
    </row>
    <row r="415">
      <c r="A415" s="13" t="n"/>
      <c r="B415" s="14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9" t="n"/>
      <c r="M415" s="19" t="n"/>
      <c r="N415" s="13" t="n"/>
      <c r="O415" s="13" t="n"/>
    </row>
    <row r="416">
      <c r="A416" s="13" t="n"/>
      <c r="B416" s="14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9" t="n"/>
      <c r="M416" s="19" t="n"/>
      <c r="N416" s="13" t="n"/>
      <c r="O416" s="13" t="n"/>
    </row>
    <row r="417">
      <c r="A417" s="13" t="n"/>
      <c r="B417" s="14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9" t="n"/>
      <c r="M417" s="19" t="n"/>
      <c r="N417" s="13" t="n"/>
      <c r="O417" s="13" t="n"/>
    </row>
    <row r="418">
      <c r="A418" s="13" t="n"/>
      <c r="B418" s="14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9" t="n"/>
      <c r="M418" s="19" t="n"/>
      <c r="N418" s="13" t="n"/>
      <c r="O418" s="13" t="n"/>
    </row>
    <row r="419">
      <c r="A419" s="13" t="n"/>
      <c r="B419" s="14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9" t="n"/>
      <c r="M419" s="19" t="n"/>
      <c r="N419" s="13" t="n"/>
      <c r="O419" s="13" t="n"/>
    </row>
    <row r="420">
      <c r="A420" s="13" t="n"/>
      <c r="B420" s="14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9" t="n"/>
      <c r="M420" s="19" t="n"/>
      <c r="N420" s="13" t="n"/>
      <c r="O420" s="13" t="n"/>
    </row>
    <row r="421">
      <c r="A421" s="13" t="n"/>
      <c r="B421" s="14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9" t="n"/>
      <c r="M421" s="19" t="n"/>
      <c r="N421" s="13" t="n"/>
      <c r="O421" s="13" t="n"/>
    </row>
    <row r="422">
      <c r="A422" s="13" t="n"/>
      <c r="B422" s="14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9" t="n"/>
      <c r="M422" s="19" t="n"/>
      <c r="N422" s="13" t="n"/>
      <c r="O422" s="13" t="n"/>
    </row>
    <row r="423">
      <c r="A423" s="13" t="n"/>
      <c r="B423" s="14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9" t="n"/>
      <c r="M423" s="19" t="n"/>
      <c r="N423" s="13" t="n"/>
      <c r="O423" s="13" t="n"/>
    </row>
    <row r="424">
      <c r="A424" s="13" t="n"/>
      <c r="B424" s="14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9" t="n"/>
      <c r="M424" s="19" t="n"/>
      <c r="N424" s="13" t="n"/>
      <c r="O424" s="13" t="n"/>
    </row>
    <row r="425">
      <c r="A425" s="13" t="n"/>
      <c r="B425" s="14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9" t="n"/>
      <c r="M425" s="19" t="n"/>
      <c r="N425" s="13" t="n"/>
      <c r="O425" s="13" t="n"/>
    </row>
    <row r="426">
      <c r="A426" s="13" t="n"/>
      <c r="B426" s="14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9" t="n"/>
      <c r="M426" s="19" t="n"/>
      <c r="N426" s="13" t="n"/>
      <c r="O426" s="13" t="n"/>
    </row>
    <row r="427">
      <c r="A427" s="13" t="n"/>
      <c r="B427" s="14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9" t="n"/>
      <c r="M427" s="19" t="n"/>
      <c r="N427" s="13" t="n"/>
      <c r="O427" s="13" t="n"/>
    </row>
    <row r="428">
      <c r="A428" s="13" t="n"/>
      <c r="B428" s="14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9" t="n"/>
      <c r="M428" s="19" t="n"/>
      <c r="N428" s="13" t="n"/>
      <c r="O428" s="13" t="n"/>
    </row>
    <row r="429">
      <c r="A429" s="13" t="n"/>
      <c r="B429" s="14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9" t="n"/>
      <c r="M429" s="19" t="n"/>
      <c r="N429" s="13" t="n"/>
      <c r="O429" s="13" t="n"/>
    </row>
    <row r="430">
      <c r="A430" s="13" t="n"/>
      <c r="B430" s="14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9" t="n"/>
      <c r="M430" s="19" t="n"/>
      <c r="N430" s="13" t="n"/>
      <c r="O430" s="13" t="n"/>
    </row>
    <row r="431">
      <c r="A431" s="13" t="n"/>
      <c r="B431" s="14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9" t="n"/>
      <c r="M431" s="19" t="n"/>
      <c r="N431" s="13" t="n"/>
      <c r="O431" s="13" t="n"/>
    </row>
    <row r="432">
      <c r="A432" s="13" t="n"/>
      <c r="B432" s="14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9" t="n"/>
      <c r="M432" s="19" t="n"/>
      <c r="N432" s="13" t="n"/>
      <c r="O432" s="13" t="n"/>
    </row>
    <row r="433">
      <c r="A433" s="13" t="n"/>
      <c r="B433" s="14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9" t="n"/>
      <c r="M433" s="19" t="n"/>
      <c r="N433" s="13" t="n"/>
      <c r="O433" s="13" t="n"/>
    </row>
    <row r="434">
      <c r="A434" s="13" t="n"/>
      <c r="B434" s="14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9" t="n"/>
      <c r="M434" s="19" t="n"/>
      <c r="N434" s="13" t="n"/>
      <c r="O434" s="13" t="n"/>
    </row>
    <row r="435">
      <c r="A435" s="13" t="n"/>
      <c r="B435" s="14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9" t="n"/>
      <c r="M435" s="19" t="n"/>
      <c r="N435" s="13" t="n"/>
      <c r="O435" s="13" t="n"/>
    </row>
    <row r="436">
      <c r="A436" s="13" t="n"/>
      <c r="B436" s="14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9" t="n"/>
      <c r="M436" s="19" t="n"/>
      <c r="N436" s="13" t="n"/>
      <c r="O436" s="13" t="n"/>
    </row>
    <row r="437">
      <c r="A437" s="13" t="n"/>
      <c r="B437" s="14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9" t="n"/>
      <c r="M437" s="19" t="n"/>
      <c r="N437" s="13" t="n"/>
      <c r="O437" s="13" t="n"/>
    </row>
    <row r="438">
      <c r="A438" s="13" t="n"/>
      <c r="B438" s="14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9" t="n"/>
      <c r="M438" s="19" t="n"/>
      <c r="N438" s="13" t="n"/>
      <c r="O438" s="13" t="n"/>
    </row>
    <row r="439">
      <c r="A439" s="13" t="n"/>
      <c r="B439" s="14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9" t="n"/>
      <c r="M439" s="19" t="n"/>
      <c r="N439" s="13" t="n"/>
      <c r="O439" s="13" t="n"/>
    </row>
    <row r="440">
      <c r="A440" s="13" t="n"/>
      <c r="B440" s="14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9" t="n"/>
      <c r="M440" s="19" t="n"/>
      <c r="N440" s="13" t="n"/>
      <c r="O440" s="13" t="n"/>
    </row>
    <row r="441">
      <c r="A441" s="13" t="n"/>
      <c r="B441" s="14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9" t="n"/>
      <c r="M441" s="19" t="n"/>
      <c r="N441" s="13" t="n"/>
      <c r="O441" s="13" t="n"/>
    </row>
    <row r="442">
      <c r="A442" s="13" t="n"/>
      <c r="B442" s="14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9" t="n"/>
      <c r="M442" s="19" t="n"/>
      <c r="N442" s="13" t="n"/>
      <c r="O442" s="13" t="n"/>
    </row>
    <row r="443">
      <c r="A443" s="13" t="n"/>
      <c r="B443" s="14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9" t="n"/>
      <c r="M443" s="19" t="n"/>
      <c r="N443" s="13" t="n"/>
      <c r="O443" s="13" t="n"/>
    </row>
    <row r="444">
      <c r="A444" s="13" t="n"/>
      <c r="B444" s="14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9" t="n"/>
      <c r="M444" s="19" t="n"/>
      <c r="N444" s="13" t="n"/>
      <c r="O444" s="13" t="n"/>
    </row>
    <row r="445">
      <c r="A445" s="13" t="n"/>
      <c r="B445" s="14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9" t="n"/>
      <c r="M445" s="19" t="n"/>
      <c r="N445" s="13" t="n"/>
      <c r="O445" s="13" t="n"/>
    </row>
    <row r="446">
      <c r="A446" s="13" t="n"/>
      <c r="B446" s="14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9" t="n"/>
      <c r="M446" s="19" t="n"/>
      <c r="N446" s="13" t="n"/>
      <c r="O446" s="13" t="n"/>
    </row>
    <row r="447">
      <c r="A447" s="13" t="n"/>
      <c r="B447" s="14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9" t="n"/>
      <c r="M447" s="19" t="n"/>
      <c r="N447" s="13" t="n"/>
      <c r="O447" s="13" t="n"/>
    </row>
    <row r="448">
      <c r="A448" s="13" t="n"/>
      <c r="B448" s="14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9" t="n"/>
      <c r="M448" s="19" t="n"/>
      <c r="N448" s="13" t="n"/>
      <c r="O448" s="13" t="n"/>
    </row>
    <row r="449">
      <c r="A449" s="13" t="n"/>
      <c r="B449" s="14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9" t="n"/>
      <c r="M449" s="19" t="n"/>
      <c r="N449" s="13" t="n"/>
      <c r="O449" s="13" t="n"/>
    </row>
    <row r="450">
      <c r="A450" s="13" t="n"/>
      <c r="B450" s="14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9" t="n"/>
      <c r="M450" s="19" t="n"/>
      <c r="N450" s="13" t="n"/>
      <c r="O450" s="13" t="n"/>
    </row>
    <row r="451">
      <c r="A451" s="13" t="n"/>
      <c r="B451" s="14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9" t="n"/>
      <c r="M451" s="19" t="n"/>
      <c r="N451" s="13" t="n"/>
      <c r="O451" s="13" t="n"/>
    </row>
    <row r="452">
      <c r="A452" s="13" t="n"/>
      <c r="B452" s="14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9" t="n"/>
      <c r="M452" s="19" t="n"/>
      <c r="N452" s="13" t="n"/>
      <c r="O452" s="13" t="n"/>
    </row>
    <row r="453">
      <c r="A453" s="13" t="n"/>
      <c r="B453" s="14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9" t="n"/>
      <c r="M453" s="19" t="n"/>
      <c r="N453" s="13" t="n"/>
      <c r="O453" s="13" t="n"/>
    </row>
    <row r="454">
      <c r="A454" s="13" t="n"/>
      <c r="B454" s="14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9" t="n"/>
      <c r="M454" s="19" t="n"/>
      <c r="N454" s="13" t="n"/>
      <c r="O454" s="13" t="n"/>
    </row>
    <row r="455">
      <c r="A455" s="13" t="n"/>
      <c r="B455" s="14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9" t="n"/>
      <c r="M455" s="19" t="n"/>
      <c r="N455" s="13" t="n"/>
      <c r="O455" s="13" t="n"/>
    </row>
    <row r="456">
      <c r="A456" s="13" t="n"/>
      <c r="B456" s="14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9" t="n"/>
      <c r="M456" s="19" t="n"/>
      <c r="N456" s="13" t="n"/>
      <c r="O456" s="13" t="n"/>
    </row>
    <row r="457">
      <c r="A457" s="13" t="n"/>
      <c r="B457" s="14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9" t="n"/>
      <c r="M457" s="19" t="n"/>
      <c r="N457" s="13" t="n"/>
      <c r="O457" s="13" t="n"/>
    </row>
    <row r="458">
      <c r="A458" s="13" t="n"/>
      <c r="B458" s="14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9" t="n"/>
      <c r="M458" s="19" t="n"/>
      <c r="N458" s="13" t="n"/>
      <c r="O458" s="13" t="n"/>
    </row>
    <row r="459">
      <c r="A459" s="13" t="n"/>
      <c r="B459" s="14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9" t="n"/>
      <c r="M459" s="19" t="n"/>
      <c r="N459" s="13" t="n"/>
      <c r="O459" s="13" t="n"/>
    </row>
    <row r="460">
      <c r="A460" s="13" t="n"/>
      <c r="B460" s="14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9" t="n"/>
      <c r="M460" s="19" t="n"/>
      <c r="N460" s="13" t="n"/>
      <c r="O460" s="13" t="n"/>
    </row>
    <row r="461">
      <c r="A461" s="13" t="n"/>
      <c r="B461" s="14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9" t="n"/>
      <c r="M461" s="19" t="n"/>
      <c r="N461" s="13" t="n"/>
      <c r="O461" s="13" t="n"/>
    </row>
    <row r="462">
      <c r="A462" s="13" t="n"/>
      <c r="B462" s="14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9" t="n"/>
      <c r="M462" s="19" t="n"/>
      <c r="N462" s="13" t="n"/>
      <c r="O462" s="13" t="n"/>
    </row>
    <row r="463">
      <c r="A463" s="13" t="n"/>
      <c r="B463" s="14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9" t="n"/>
      <c r="M463" s="19" t="n"/>
      <c r="N463" s="13" t="n"/>
      <c r="O463" s="13" t="n"/>
    </row>
    <row r="464">
      <c r="A464" s="13" t="n"/>
      <c r="B464" s="14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9" t="n"/>
      <c r="M464" s="19" t="n"/>
      <c r="N464" s="13" t="n"/>
      <c r="O464" s="13" t="n"/>
    </row>
    <row r="465">
      <c r="A465" s="13" t="n"/>
      <c r="B465" s="14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9" t="n"/>
      <c r="M465" s="19" t="n"/>
      <c r="N465" s="13" t="n"/>
      <c r="O465" s="13" t="n"/>
    </row>
    <row r="466">
      <c r="A466" s="13" t="n"/>
      <c r="B466" s="14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9" t="n"/>
      <c r="M466" s="19" t="n"/>
      <c r="N466" s="13" t="n"/>
      <c r="O466" s="13" t="n"/>
    </row>
    <row r="467">
      <c r="A467" s="13" t="n"/>
      <c r="B467" s="14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9" t="n"/>
      <c r="M467" s="19" t="n"/>
      <c r="N467" s="13" t="n"/>
      <c r="O467" s="13" t="n"/>
    </row>
    <row r="468">
      <c r="A468" s="13" t="n"/>
      <c r="B468" s="14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9" t="n"/>
      <c r="M468" s="19" t="n"/>
      <c r="N468" s="13" t="n"/>
      <c r="O468" s="13" t="n"/>
    </row>
    <row r="469">
      <c r="A469" s="13" t="n"/>
      <c r="B469" s="14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9" t="n"/>
      <c r="M469" s="19" t="n"/>
      <c r="N469" s="13" t="n"/>
      <c r="O469" s="13" t="n"/>
    </row>
    <row r="470">
      <c r="A470" s="13" t="n"/>
      <c r="B470" s="14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9" t="n"/>
      <c r="M470" s="19" t="n"/>
      <c r="N470" s="13" t="n"/>
      <c r="O470" s="13" t="n"/>
    </row>
    <row r="471">
      <c r="A471" s="13" t="n"/>
      <c r="B471" s="14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9" t="n"/>
      <c r="M471" s="19" t="n"/>
      <c r="N471" s="13" t="n"/>
      <c r="O471" s="13" t="n"/>
    </row>
    <row r="472">
      <c r="A472" s="13" t="n"/>
      <c r="B472" s="14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9" t="n"/>
      <c r="M472" s="19" t="n"/>
      <c r="N472" s="13" t="n"/>
      <c r="O472" s="13" t="n"/>
    </row>
    <row r="473">
      <c r="A473" s="13" t="n"/>
      <c r="B473" s="14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9" t="n"/>
      <c r="M473" s="19" t="n"/>
      <c r="N473" s="13" t="n"/>
      <c r="O473" s="13" t="n"/>
    </row>
    <row r="474">
      <c r="A474" s="13" t="n"/>
      <c r="B474" s="14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9" t="n"/>
      <c r="M474" s="19" t="n"/>
      <c r="N474" s="13" t="n"/>
      <c r="O474" s="13" t="n"/>
    </row>
    <row r="475">
      <c r="A475" s="13" t="n"/>
      <c r="B475" s="14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9" t="n"/>
      <c r="M475" s="19" t="n"/>
      <c r="N475" s="13" t="n"/>
      <c r="O475" s="13" t="n"/>
    </row>
    <row r="476">
      <c r="A476" s="13" t="n"/>
      <c r="B476" s="14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9" t="n"/>
      <c r="M476" s="19" t="n"/>
      <c r="N476" s="13" t="n"/>
      <c r="O476" s="13" t="n"/>
    </row>
    <row r="477">
      <c r="A477" s="13" t="n"/>
      <c r="B477" s="14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9" t="n"/>
      <c r="M477" s="19" t="n"/>
      <c r="N477" s="13" t="n"/>
      <c r="O477" s="13" t="n"/>
    </row>
    <row r="478">
      <c r="A478" s="13" t="n"/>
      <c r="B478" s="14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9" t="n"/>
      <c r="M478" s="19" t="n"/>
      <c r="N478" s="13" t="n"/>
      <c r="O478" s="13" t="n"/>
    </row>
    <row r="479">
      <c r="A479" s="13" t="n"/>
      <c r="B479" s="14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9" t="n"/>
      <c r="M479" s="19" t="n"/>
      <c r="N479" s="13" t="n"/>
      <c r="O479" s="13" t="n"/>
    </row>
    <row r="480">
      <c r="A480" s="13" t="n"/>
      <c r="B480" s="14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9" t="n"/>
      <c r="M480" s="19" t="n"/>
      <c r="N480" s="13" t="n"/>
      <c r="O480" s="13" t="n"/>
    </row>
    <row r="481">
      <c r="A481" s="13" t="n"/>
      <c r="B481" s="14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9" t="n"/>
      <c r="M481" s="19" t="n"/>
      <c r="N481" s="13" t="n"/>
      <c r="O481" s="13" t="n"/>
    </row>
    <row r="482">
      <c r="A482" s="13" t="n"/>
      <c r="B482" s="14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9" t="n"/>
      <c r="M482" s="19" t="n"/>
      <c r="N482" s="13" t="n"/>
      <c r="O482" s="13" t="n"/>
    </row>
    <row r="483">
      <c r="A483" s="13" t="n"/>
      <c r="B483" s="14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9" t="n"/>
      <c r="M483" s="19" t="n"/>
      <c r="N483" s="13" t="n"/>
      <c r="O483" s="13" t="n"/>
    </row>
    <row r="484">
      <c r="A484" s="13" t="n"/>
      <c r="B484" s="14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9" t="n"/>
      <c r="M484" s="19" t="n"/>
      <c r="N484" s="13" t="n"/>
      <c r="O484" s="13" t="n"/>
    </row>
    <row r="485">
      <c r="A485" s="13" t="n"/>
      <c r="B485" s="14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9" t="n"/>
      <c r="M485" s="19" t="n"/>
      <c r="N485" s="13" t="n"/>
      <c r="O485" s="13" t="n"/>
    </row>
    <row r="486">
      <c r="A486" s="13" t="n"/>
      <c r="B486" s="14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9" t="n"/>
      <c r="M486" s="19" t="n"/>
      <c r="N486" s="13" t="n"/>
      <c r="O486" s="13" t="n"/>
    </row>
    <row r="487">
      <c r="A487" s="13" t="n"/>
      <c r="B487" s="14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9" t="n"/>
      <c r="M487" s="19" t="n"/>
      <c r="N487" s="13" t="n"/>
      <c r="O487" s="13" t="n"/>
    </row>
    <row r="488">
      <c r="A488" s="13" t="n"/>
      <c r="B488" s="14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9" t="n"/>
      <c r="M488" s="19" t="n"/>
      <c r="N488" s="13" t="n"/>
      <c r="O488" s="13" t="n"/>
    </row>
    <row r="489">
      <c r="A489" s="13" t="n"/>
      <c r="B489" s="14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9" t="n"/>
      <c r="M489" s="19" t="n"/>
      <c r="N489" s="13" t="n"/>
      <c r="O489" s="13" t="n"/>
    </row>
    <row r="490">
      <c r="A490" s="13" t="n"/>
      <c r="B490" s="14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9" t="n"/>
      <c r="M490" s="19" t="n"/>
      <c r="N490" s="13" t="n"/>
      <c r="O490" s="13" t="n"/>
    </row>
    <row r="491">
      <c r="A491" s="13" t="n"/>
      <c r="B491" s="14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9" t="n"/>
      <c r="M491" s="19" t="n"/>
      <c r="N491" s="13" t="n"/>
      <c r="O491" s="13" t="n"/>
    </row>
    <row r="492">
      <c r="A492" s="13" t="n"/>
      <c r="B492" s="14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9" t="n"/>
      <c r="M492" s="19" t="n"/>
      <c r="N492" s="13" t="n"/>
      <c r="O492" s="13" t="n"/>
    </row>
    <row r="493">
      <c r="A493" s="13" t="n"/>
      <c r="B493" s="14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9" t="n"/>
      <c r="M493" s="19" t="n"/>
      <c r="N493" s="13" t="n"/>
      <c r="O493" s="13" t="n"/>
    </row>
    <row r="494">
      <c r="A494" s="13" t="n"/>
      <c r="B494" s="14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9" t="n"/>
      <c r="M494" s="19" t="n"/>
      <c r="N494" s="13" t="n"/>
      <c r="O494" s="13" t="n"/>
    </row>
    <row r="495">
      <c r="A495" s="13" t="n"/>
      <c r="B495" s="14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9" t="n"/>
      <c r="M495" s="19" t="n"/>
      <c r="N495" s="13" t="n"/>
      <c r="O495" s="13" t="n"/>
    </row>
    <row r="496">
      <c r="A496" s="13" t="n"/>
      <c r="B496" s="14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9" t="n"/>
      <c r="M496" s="19" t="n"/>
      <c r="N496" s="13" t="n"/>
      <c r="O496" s="13" t="n"/>
    </row>
    <row r="497">
      <c r="A497" s="13" t="n"/>
      <c r="B497" s="14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9" t="n"/>
      <c r="M497" s="19" t="n"/>
      <c r="N497" s="13" t="n"/>
      <c r="O497" s="13" t="n"/>
    </row>
    <row r="498">
      <c r="A498" s="13" t="n"/>
      <c r="B498" s="14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9" t="n"/>
      <c r="M498" s="19" t="n"/>
      <c r="N498" s="13" t="n"/>
      <c r="O498" s="13" t="n"/>
    </row>
    <row r="499">
      <c r="A499" s="13" t="n"/>
      <c r="B499" s="14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9" t="n"/>
      <c r="M499" s="19" t="n"/>
      <c r="N499" s="13" t="n"/>
      <c r="O499" s="13" t="n"/>
    </row>
    <row r="500">
      <c r="A500" s="13" t="n"/>
      <c r="B500" s="14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9" t="n"/>
      <c r="M500" s="19" t="n"/>
      <c r="N500" s="13" t="n"/>
      <c r="O500" s="13" t="n"/>
    </row>
    <row r="501">
      <c r="A501" s="13" t="n"/>
      <c r="B501" s="14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9" t="n"/>
      <c r="M501" s="19" t="n"/>
      <c r="N501" s="13" t="n"/>
      <c r="O501" s="13" t="n"/>
    </row>
    <row r="502">
      <c r="A502" s="13" t="n"/>
      <c r="B502" s="14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9" t="n"/>
      <c r="M502" s="19" t="n"/>
      <c r="N502" s="13" t="n"/>
      <c r="O502" s="13" t="n"/>
    </row>
    <row r="503">
      <c r="A503" s="13" t="n"/>
      <c r="B503" s="14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9" t="n"/>
      <c r="M503" s="19" t="n"/>
      <c r="N503" s="13" t="n"/>
      <c r="O503" s="13" t="n"/>
    </row>
    <row r="504">
      <c r="A504" s="13" t="n"/>
      <c r="B504" s="14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9" t="n"/>
      <c r="M504" s="19" t="n"/>
      <c r="N504" s="13" t="n"/>
      <c r="O504" s="13" t="n"/>
    </row>
    <row r="505">
      <c r="A505" s="13" t="n"/>
      <c r="B505" s="14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9" t="n"/>
      <c r="M505" s="19" t="n"/>
      <c r="N505" s="13" t="n"/>
      <c r="O505" s="13" t="n"/>
    </row>
    <row r="506">
      <c r="A506" s="13" t="n"/>
      <c r="B506" s="14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9" t="n"/>
      <c r="M506" s="19" t="n"/>
      <c r="N506" s="13" t="n"/>
      <c r="O506" s="13" t="n"/>
    </row>
    <row r="507">
      <c r="A507" s="13" t="n"/>
      <c r="B507" s="14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9" t="n"/>
      <c r="M507" s="19" t="n"/>
      <c r="N507" s="13" t="n"/>
      <c r="O507" s="13" t="n"/>
    </row>
    <row r="508">
      <c r="A508" s="13" t="n"/>
      <c r="B508" s="14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9" t="n"/>
      <c r="M508" s="19" t="n"/>
      <c r="N508" s="13" t="n"/>
      <c r="O508" s="13" t="n"/>
    </row>
    <row r="509">
      <c r="A509" s="13" t="n"/>
      <c r="B509" s="14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9" t="n"/>
      <c r="M509" s="19" t="n"/>
      <c r="N509" s="13" t="n"/>
      <c r="O509" s="13" t="n"/>
    </row>
    <row r="510">
      <c r="A510" s="13" t="n"/>
      <c r="B510" s="14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9" t="n"/>
      <c r="M510" s="19" t="n"/>
      <c r="N510" s="13" t="n"/>
      <c r="O510" s="13" t="n"/>
    </row>
    <row r="511">
      <c r="A511" s="13" t="n"/>
      <c r="B511" s="14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9" t="n"/>
      <c r="M511" s="19" t="n"/>
      <c r="N511" s="13" t="n"/>
      <c r="O511" s="13" t="n"/>
    </row>
    <row r="512">
      <c r="A512" s="13" t="n"/>
      <c r="B512" s="14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9" t="n"/>
      <c r="M512" s="19" t="n"/>
      <c r="N512" s="13" t="n"/>
      <c r="O512" s="13" t="n"/>
    </row>
    <row r="513">
      <c r="A513" s="13" t="n"/>
      <c r="B513" s="14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9" t="n"/>
      <c r="M513" s="19" t="n"/>
      <c r="N513" s="13" t="n"/>
      <c r="O513" s="13" t="n"/>
    </row>
    <row r="514">
      <c r="A514" s="13" t="n"/>
      <c r="B514" s="14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9" t="n"/>
      <c r="M514" s="19" t="n"/>
      <c r="N514" s="13" t="n"/>
      <c r="O514" s="13" t="n"/>
    </row>
    <row r="515">
      <c r="A515" s="13" t="n"/>
      <c r="B515" s="14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9" t="n"/>
      <c r="M515" s="19" t="n"/>
      <c r="N515" s="13" t="n"/>
      <c r="O515" s="13" t="n"/>
    </row>
    <row r="516">
      <c r="A516" s="13" t="n"/>
      <c r="B516" s="14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9" t="n"/>
      <c r="M516" s="19" t="n"/>
      <c r="N516" s="13" t="n"/>
      <c r="O516" s="13" t="n"/>
    </row>
    <row r="517">
      <c r="A517" s="13" t="n"/>
      <c r="B517" s="14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9" t="n"/>
      <c r="M517" s="19" t="n"/>
      <c r="N517" s="13" t="n"/>
      <c r="O517" s="13" t="n"/>
    </row>
    <row r="518">
      <c r="A518" s="13" t="n"/>
      <c r="B518" s="14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9" t="n"/>
      <c r="M518" s="19" t="n"/>
      <c r="N518" s="13" t="n"/>
      <c r="O518" s="13" t="n"/>
    </row>
    <row r="519">
      <c r="A519" s="13" t="n"/>
      <c r="B519" s="14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9" t="n"/>
      <c r="M519" s="19" t="n"/>
      <c r="N519" s="13" t="n"/>
      <c r="O519" s="13" t="n"/>
    </row>
    <row r="520">
      <c r="A520" s="13" t="n"/>
      <c r="B520" s="14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9" t="n"/>
      <c r="M520" s="19" t="n"/>
      <c r="N520" s="13" t="n"/>
      <c r="O520" s="13" t="n"/>
    </row>
    <row r="521">
      <c r="A521" s="13" t="n"/>
      <c r="B521" s="14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9" t="n"/>
      <c r="M521" s="19" t="n"/>
      <c r="N521" s="13" t="n"/>
      <c r="O521" s="13" t="n"/>
    </row>
    <row r="522">
      <c r="A522" s="13" t="n"/>
      <c r="B522" s="14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9" t="n"/>
      <c r="M522" s="19" t="n"/>
      <c r="N522" s="13" t="n"/>
      <c r="O522" s="13" t="n"/>
    </row>
    <row r="523">
      <c r="A523" s="13" t="n"/>
      <c r="B523" s="14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9" t="n"/>
      <c r="M523" s="19" t="n"/>
      <c r="N523" s="13" t="n"/>
      <c r="O523" s="13" t="n"/>
    </row>
    <row r="524">
      <c r="A524" s="13" t="n"/>
      <c r="B524" s="14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9" t="n"/>
      <c r="M524" s="19" t="n"/>
      <c r="N524" s="13" t="n"/>
      <c r="O524" s="13" t="n"/>
    </row>
    <row r="525">
      <c r="A525" s="13" t="n"/>
      <c r="B525" s="14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9" t="n"/>
      <c r="M525" s="19" t="n"/>
      <c r="N525" s="13" t="n"/>
      <c r="O525" s="13" t="n"/>
    </row>
    <row r="526">
      <c r="A526" s="13" t="n"/>
      <c r="B526" s="14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9" t="n"/>
      <c r="M526" s="19" t="n"/>
      <c r="N526" s="13" t="n"/>
      <c r="O526" s="13" t="n"/>
    </row>
    <row r="527">
      <c r="A527" s="13" t="n"/>
      <c r="B527" s="14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9" t="n"/>
      <c r="M527" s="19" t="n"/>
      <c r="N527" s="13" t="n"/>
      <c r="O527" s="13" t="n"/>
    </row>
    <row r="528">
      <c r="A528" s="13" t="n"/>
      <c r="B528" s="14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9" t="n"/>
      <c r="M528" s="19" t="n"/>
      <c r="N528" s="13" t="n"/>
      <c r="O528" s="13" t="n"/>
    </row>
    <row r="529">
      <c r="A529" s="13" t="n"/>
      <c r="B529" s="14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9" t="n"/>
      <c r="M529" s="19" t="n"/>
      <c r="N529" s="13" t="n"/>
      <c r="O529" s="13" t="n"/>
    </row>
    <row r="530">
      <c r="A530" s="13" t="n"/>
      <c r="B530" s="14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9" t="n"/>
      <c r="M530" s="19" t="n"/>
      <c r="N530" s="13" t="n"/>
      <c r="O530" s="13" t="n"/>
    </row>
    <row r="531">
      <c r="A531" s="13" t="n"/>
      <c r="B531" s="14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9" t="n"/>
      <c r="M531" s="19" t="n"/>
      <c r="N531" s="13" t="n"/>
      <c r="O531" s="13" t="n"/>
    </row>
    <row r="532">
      <c r="A532" s="13" t="n"/>
      <c r="B532" s="14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9" t="n"/>
      <c r="M532" s="19" t="n"/>
      <c r="N532" s="13" t="n"/>
      <c r="O532" s="13" t="n"/>
    </row>
    <row r="533">
      <c r="A533" s="13" t="n"/>
      <c r="B533" s="14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9" t="n"/>
      <c r="M533" s="19" t="n"/>
      <c r="N533" s="13" t="n"/>
      <c r="O533" s="13" t="n"/>
    </row>
    <row r="534">
      <c r="A534" s="13" t="n"/>
      <c r="B534" s="14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9" t="n"/>
      <c r="M534" s="19" t="n"/>
      <c r="N534" s="13" t="n"/>
      <c r="O534" s="13" t="n"/>
    </row>
    <row r="535">
      <c r="A535" s="13" t="n"/>
      <c r="B535" s="14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9" t="n"/>
      <c r="M535" s="19" t="n"/>
      <c r="N535" s="13" t="n"/>
      <c r="O535" s="13" t="n"/>
    </row>
    <row r="536">
      <c r="A536" s="13" t="n"/>
      <c r="B536" s="14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9" t="n"/>
      <c r="M536" s="19" t="n"/>
      <c r="N536" s="13" t="n"/>
      <c r="O536" s="13" t="n"/>
    </row>
    <row r="537">
      <c r="A537" s="13" t="n"/>
      <c r="B537" s="14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9" t="n"/>
      <c r="M537" s="19" t="n"/>
      <c r="N537" s="13" t="n"/>
      <c r="O537" s="13" t="n"/>
    </row>
    <row r="538">
      <c r="A538" s="13" t="n"/>
      <c r="B538" s="14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9" t="n"/>
      <c r="M538" s="19" t="n"/>
      <c r="N538" s="13" t="n"/>
      <c r="O538" s="13" t="n"/>
    </row>
    <row r="539">
      <c r="A539" s="13" t="n"/>
      <c r="B539" s="14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9" t="n"/>
      <c r="M539" s="19" t="n"/>
      <c r="N539" s="13" t="n"/>
      <c r="O539" s="13" t="n"/>
    </row>
    <row r="540">
      <c r="A540" s="13" t="n"/>
      <c r="B540" s="14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9" t="n"/>
      <c r="M540" s="19" t="n"/>
      <c r="N540" s="13" t="n"/>
      <c r="O540" s="13" t="n"/>
    </row>
    <row r="541">
      <c r="A541" s="13" t="n"/>
      <c r="B541" s="14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9" t="n"/>
      <c r="M541" s="19" t="n"/>
      <c r="N541" s="13" t="n"/>
      <c r="O541" s="13" t="n"/>
    </row>
    <row r="542">
      <c r="A542" s="13" t="n"/>
      <c r="B542" s="14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9" t="n"/>
      <c r="M542" s="19" t="n"/>
      <c r="N542" s="13" t="n"/>
      <c r="O542" s="13" t="n"/>
    </row>
    <row r="543">
      <c r="A543" s="13" t="n"/>
      <c r="B543" s="14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9" t="n"/>
      <c r="M543" s="19" t="n"/>
      <c r="N543" s="13" t="n"/>
      <c r="O543" s="13" t="n"/>
    </row>
    <row r="544">
      <c r="A544" s="13" t="n"/>
      <c r="B544" s="14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9" t="n"/>
      <c r="M544" s="19" t="n"/>
      <c r="N544" s="13" t="n"/>
      <c r="O544" s="13" t="n"/>
    </row>
    <row r="545">
      <c r="A545" s="13" t="n"/>
      <c r="B545" s="14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9" t="n"/>
      <c r="M545" s="19" t="n"/>
      <c r="N545" s="13" t="n"/>
      <c r="O545" s="13" t="n"/>
    </row>
    <row r="546">
      <c r="A546" s="13" t="n"/>
      <c r="B546" s="14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9" t="n"/>
      <c r="M546" s="19" t="n"/>
      <c r="N546" s="13" t="n"/>
      <c r="O546" s="13" t="n"/>
    </row>
    <row r="547">
      <c r="A547" s="13" t="n"/>
      <c r="B547" s="14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9" t="n"/>
      <c r="M547" s="19" t="n"/>
      <c r="N547" s="13" t="n"/>
      <c r="O547" s="13" t="n"/>
    </row>
    <row r="548">
      <c r="A548" s="13" t="n"/>
      <c r="B548" s="14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9" t="n"/>
      <c r="M548" s="19" t="n"/>
      <c r="N548" s="13" t="n"/>
      <c r="O548" s="13" t="n"/>
    </row>
    <row r="549">
      <c r="A549" s="13" t="n"/>
      <c r="B549" s="14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9" t="n"/>
      <c r="M549" s="19" t="n"/>
      <c r="N549" s="13" t="n"/>
      <c r="O549" s="13" t="n"/>
    </row>
    <row r="550">
      <c r="A550" s="13" t="n"/>
      <c r="B550" s="14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9" t="n"/>
      <c r="M550" s="19" t="n"/>
      <c r="N550" s="13" t="n"/>
      <c r="O550" s="13" t="n"/>
    </row>
    <row r="551">
      <c r="A551" s="13" t="n"/>
      <c r="B551" s="14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9" t="n"/>
      <c r="M551" s="19" t="n"/>
      <c r="N551" s="13" t="n"/>
      <c r="O551" s="13" t="n"/>
    </row>
    <row r="552">
      <c r="A552" s="13" t="n"/>
      <c r="B552" s="14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9" t="n"/>
      <c r="M552" s="19" t="n"/>
      <c r="N552" s="13" t="n"/>
      <c r="O552" s="13" t="n"/>
    </row>
    <row r="553">
      <c r="A553" s="13" t="n"/>
      <c r="B553" s="14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9" t="n"/>
      <c r="M553" s="19" t="n"/>
      <c r="N553" s="13" t="n"/>
      <c r="O553" s="13" t="n"/>
    </row>
    <row r="554">
      <c r="A554" s="13" t="n"/>
      <c r="B554" s="14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9" t="n"/>
      <c r="M554" s="19" t="n"/>
      <c r="N554" s="13" t="n"/>
      <c r="O554" s="13" t="n"/>
    </row>
    <row r="555">
      <c r="A555" s="13" t="n"/>
      <c r="B555" s="14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9" t="n"/>
      <c r="M555" s="19" t="n"/>
      <c r="N555" s="13" t="n"/>
      <c r="O555" s="13" t="n"/>
    </row>
    <row r="556">
      <c r="A556" s="13" t="n"/>
      <c r="B556" s="14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9" t="n"/>
      <c r="M556" s="19" t="n"/>
      <c r="N556" s="13" t="n"/>
      <c r="O556" s="13" t="n"/>
    </row>
    <row r="557">
      <c r="A557" s="13" t="n"/>
      <c r="B557" s="14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9" t="n"/>
      <c r="M557" s="19" t="n"/>
      <c r="N557" s="13" t="n"/>
      <c r="O557" s="13" t="n"/>
    </row>
    <row r="558">
      <c r="A558" s="13" t="n"/>
      <c r="B558" s="14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9" t="n"/>
      <c r="M558" s="19" t="n"/>
      <c r="N558" s="13" t="n"/>
      <c r="O558" s="13" t="n"/>
    </row>
    <row r="559">
      <c r="A559" s="13" t="n"/>
      <c r="B559" s="14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9" t="n"/>
      <c r="M559" s="19" t="n"/>
      <c r="N559" s="13" t="n"/>
      <c r="O559" s="13" t="n"/>
    </row>
    <row r="560">
      <c r="A560" s="13" t="n"/>
      <c r="B560" s="14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9" t="n"/>
      <c r="M560" s="19" t="n"/>
      <c r="N560" s="13" t="n"/>
      <c r="O560" s="13" t="n"/>
    </row>
    <row r="561">
      <c r="A561" s="13" t="n"/>
      <c r="B561" s="14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9" t="n"/>
      <c r="M561" s="19" t="n"/>
      <c r="N561" s="13" t="n"/>
      <c r="O561" s="13" t="n"/>
    </row>
    <row r="562">
      <c r="A562" s="13" t="n"/>
      <c r="B562" s="14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9" t="n"/>
      <c r="M562" s="19" t="n"/>
      <c r="N562" s="13" t="n"/>
      <c r="O562" s="13" t="n"/>
    </row>
    <row r="563">
      <c r="A563" s="13" t="n"/>
      <c r="B563" s="14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9" t="n"/>
      <c r="M563" s="19" t="n"/>
      <c r="N563" s="13" t="n"/>
      <c r="O563" s="13" t="n"/>
    </row>
    <row r="564">
      <c r="A564" s="13" t="n"/>
      <c r="B564" s="14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9" t="n"/>
      <c r="M564" s="19" t="n"/>
      <c r="N564" s="13" t="n"/>
      <c r="O564" s="13" t="n"/>
    </row>
    <row r="565">
      <c r="A565" s="13" t="n"/>
      <c r="B565" s="14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9" t="n"/>
      <c r="M565" s="19" t="n"/>
      <c r="N565" s="13" t="n"/>
      <c r="O565" s="13" t="n"/>
    </row>
    <row r="566">
      <c r="A566" s="13" t="n"/>
      <c r="B566" s="14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9" t="n"/>
      <c r="M566" s="19" t="n"/>
      <c r="N566" s="13" t="n"/>
      <c r="O566" s="13" t="n"/>
    </row>
    <row r="567">
      <c r="A567" s="13" t="n"/>
      <c r="B567" s="14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9" t="n"/>
      <c r="M567" s="19" t="n"/>
      <c r="N567" s="13" t="n"/>
      <c r="O567" s="13" t="n"/>
    </row>
    <row r="568">
      <c r="A568" s="13" t="n"/>
      <c r="B568" s="14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9" t="n"/>
      <c r="M568" s="19" t="n"/>
      <c r="N568" s="13" t="n"/>
      <c r="O568" s="13" t="n"/>
    </row>
    <row r="569">
      <c r="A569" s="13" t="n"/>
      <c r="B569" s="14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9" t="n"/>
      <c r="M569" s="19" t="n"/>
      <c r="N569" s="13" t="n"/>
      <c r="O569" s="13" t="n"/>
    </row>
    <row r="570">
      <c r="A570" s="13" t="n"/>
      <c r="B570" s="14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9" t="n"/>
      <c r="M570" s="19" t="n"/>
      <c r="N570" s="13" t="n"/>
      <c r="O570" s="13" t="n"/>
    </row>
    <row r="571">
      <c r="A571" s="13" t="n"/>
      <c r="B571" s="14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9" t="n"/>
      <c r="M571" s="19" t="n"/>
      <c r="N571" s="13" t="n"/>
      <c r="O571" s="13" t="n"/>
    </row>
    <row r="572">
      <c r="A572" s="13" t="n"/>
      <c r="B572" s="14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9" t="n"/>
      <c r="M572" s="19" t="n"/>
      <c r="N572" s="13" t="n"/>
      <c r="O572" s="13" t="n"/>
    </row>
    <row r="573">
      <c r="A573" s="13" t="n"/>
      <c r="B573" s="14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9" t="n"/>
      <c r="M573" s="19" t="n"/>
      <c r="N573" s="13" t="n"/>
      <c r="O573" s="13" t="n"/>
    </row>
    <row r="574">
      <c r="A574" s="13" t="n"/>
      <c r="B574" s="14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9" t="n"/>
      <c r="M574" s="19" t="n"/>
      <c r="N574" s="13" t="n"/>
      <c r="O574" s="13" t="n"/>
    </row>
    <row r="575">
      <c r="A575" s="13" t="n"/>
      <c r="B575" s="14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9" t="n"/>
      <c r="M575" s="19" t="n"/>
      <c r="N575" s="13" t="n"/>
      <c r="O575" s="13" t="n"/>
    </row>
    <row r="576">
      <c r="A576" s="13" t="n"/>
      <c r="B576" s="14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9" t="n"/>
      <c r="M576" s="19" t="n"/>
      <c r="N576" s="13" t="n"/>
      <c r="O576" s="13" t="n"/>
    </row>
    <row r="577">
      <c r="A577" s="13" t="n"/>
      <c r="B577" s="14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9" t="n"/>
      <c r="M577" s="19" t="n"/>
      <c r="N577" s="13" t="n"/>
      <c r="O577" s="13" t="n"/>
    </row>
    <row r="578">
      <c r="A578" s="13" t="n"/>
      <c r="B578" s="14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9" t="n"/>
      <c r="M578" s="19" t="n"/>
      <c r="N578" s="13" t="n"/>
      <c r="O578" s="13" t="n"/>
    </row>
    <row r="579">
      <c r="A579" s="13" t="n"/>
      <c r="B579" s="14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9" t="n"/>
      <c r="M579" s="19" t="n"/>
      <c r="N579" s="13" t="n"/>
      <c r="O579" s="13" t="n"/>
    </row>
    <row r="580">
      <c r="A580" s="13" t="n"/>
      <c r="B580" s="14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9" t="n"/>
      <c r="M580" s="19" t="n"/>
      <c r="N580" s="13" t="n"/>
      <c r="O580" s="13" t="n"/>
    </row>
    <row r="581">
      <c r="A581" s="13" t="n"/>
      <c r="B581" s="14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9" t="n"/>
      <c r="M581" s="19" t="n"/>
      <c r="N581" s="13" t="n"/>
      <c r="O581" s="13" t="n"/>
    </row>
    <row r="582">
      <c r="A582" s="13" t="n"/>
      <c r="B582" s="14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9" t="n"/>
      <c r="M582" s="19" t="n"/>
      <c r="N582" s="13" t="n"/>
      <c r="O582" s="13" t="n"/>
    </row>
    <row r="583">
      <c r="A583" s="13" t="n"/>
      <c r="B583" s="14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9" t="n"/>
      <c r="M583" s="19" t="n"/>
      <c r="N583" s="13" t="n"/>
      <c r="O583" s="13" t="n"/>
    </row>
    <row r="584">
      <c r="A584" s="13" t="n"/>
      <c r="B584" s="14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9" t="n"/>
      <c r="M584" s="19" t="n"/>
      <c r="N584" s="13" t="n"/>
      <c r="O584" s="13" t="n"/>
    </row>
    <row r="585">
      <c r="A585" s="13" t="n"/>
      <c r="B585" s="14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9" t="n"/>
      <c r="M585" s="19" t="n"/>
      <c r="N585" s="13" t="n"/>
      <c r="O585" s="13" t="n"/>
    </row>
    <row r="586">
      <c r="A586" s="13" t="n"/>
      <c r="B586" s="14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9" t="n"/>
      <c r="M586" s="19" t="n"/>
      <c r="N586" s="13" t="n"/>
      <c r="O586" s="13" t="n"/>
    </row>
    <row r="587">
      <c r="A587" s="13" t="n"/>
      <c r="B587" s="14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9" t="n"/>
      <c r="M587" s="19" t="n"/>
      <c r="N587" s="13" t="n"/>
      <c r="O587" s="13" t="n"/>
    </row>
    <row r="588">
      <c r="A588" s="13" t="n"/>
      <c r="B588" s="14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9" t="n"/>
      <c r="M588" s="19" t="n"/>
      <c r="N588" s="13" t="n"/>
      <c r="O588" s="13" t="n"/>
    </row>
    <row r="589">
      <c r="A589" s="13" t="n"/>
      <c r="B589" s="14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9" t="n"/>
      <c r="M589" s="19" t="n"/>
      <c r="N589" s="13" t="n"/>
      <c r="O589" s="13" t="n"/>
    </row>
    <row r="590">
      <c r="A590" s="13" t="n"/>
      <c r="B590" s="14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9" t="n"/>
      <c r="M590" s="19" t="n"/>
      <c r="N590" s="13" t="n"/>
      <c r="O590" s="13" t="n"/>
    </row>
    <row r="591">
      <c r="A591" s="13" t="n"/>
      <c r="B591" s="14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9" t="n"/>
      <c r="M591" s="19" t="n"/>
      <c r="N591" s="13" t="n"/>
      <c r="O591" s="13" t="n"/>
    </row>
    <row r="592">
      <c r="A592" s="13" t="n"/>
      <c r="B592" s="14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9" t="n"/>
      <c r="M592" s="19" t="n"/>
      <c r="N592" s="13" t="n"/>
      <c r="O592" s="13" t="n"/>
    </row>
    <row r="593">
      <c r="A593" s="13" t="n"/>
      <c r="B593" s="14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9" t="n"/>
      <c r="M593" s="19" t="n"/>
      <c r="N593" s="13" t="n"/>
      <c r="O593" s="13" t="n"/>
    </row>
    <row r="594">
      <c r="A594" s="13" t="n"/>
      <c r="B594" s="14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9" t="n"/>
      <c r="M594" s="19" t="n"/>
      <c r="N594" s="13" t="n"/>
      <c r="O594" s="13" t="n"/>
    </row>
    <row r="595">
      <c r="A595" s="13" t="n"/>
      <c r="B595" s="14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9" t="n"/>
      <c r="M595" s="19" t="n"/>
      <c r="N595" s="13" t="n"/>
      <c r="O595" s="13" t="n"/>
    </row>
    <row r="596">
      <c r="A596" s="13" t="n"/>
      <c r="B596" s="14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9" t="n"/>
      <c r="M596" s="19" t="n"/>
      <c r="N596" s="13" t="n"/>
      <c r="O596" s="13" t="n"/>
    </row>
    <row r="597">
      <c r="A597" s="13" t="n"/>
      <c r="B597" s="14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9" t="n"/>
      <c r="M597" s="19" t="n"/>
      <c r="N597" s="13" t="n"/>
      <c r="O597" s="13" t="n"/>
    </row>
    <row r="598">
      <c r="A598" s="13" t="n"/>
      <c r="B598" s="14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9" t="n"/>
      <c r="M598" s="19" t="n"/>
      <c r="N598" s="13" t="n"/>
      <c r="O598" s="13" t="n"/>
    </row>
    <row r="599">
      <c r="A599" s="13" t="n"/>
      <c r="B599" s="14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9" t="n"/>
      <c r="M599" s="19" t="n"/>
      <c r="N599" s="13" t="n"/>
      <c r="O599" s="13" t="n"/>
    </row>
    <row r="600">
      <c r="A600" s="13" t="n"/>
      <c r="B600" s="14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9" t="n"/>
      <c r="M600" s="19" t="n"/>
      <c r="N600" s="13" t="n"/>
      <c r="O600" s="13" t="n"/>
    </row>
    <row r="601">
      <c r="A601" s="13" t="n"/>
      <c r="B601" s="14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9" t="n"/>
      <c r="M601" s="19" t="n"/>
      <c r="N601" s="13" t="n"/>
      <c r="O601" s="13" t="n"/>
    </row>
    <row r="602">
      <c r="A602" s="13" t="n"/>
      <c r="B602" s="14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9" t="n"/>
      <c r="M602" s="19" t="n"/>
      <c r="N602" s="13" t="n"/>
      <c r="O602" s="13" t="n"/>
    </row>
    <row r="603">
      <c r="A603" s="13" t="n"/>
      <c r="B603" s="14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9" t="n"/>
      <c r="M603" s="19" t="n"/>
      <c r="N603" s="13" t="n"/>
      <c r="O603" s="13" t="n"/>
    </row>
    <row r="604">
      <c r="A604" s="13" t="n"/>
      <c r="B604" s="14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9" t="n"/>
      <c r="M604" s="19" t="n"/>
      <c r="N604" s="13" t="n"/>
      <c r="O604" s="13" t="n"/>
    </row>
    <row r="605">
      <c r="A605" s="13" t="n"/>
      <c r="B605" s="14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9" t="n"/>
      <c r="M605" s="19" t="n"/>
      <c r="N605" s="13" t="n"/>
      <c r="O605" s="13" t="n"/>
    </row>
    <row r="606">
      <c r="A606" s="13" t="n"/>
      <c r="B606" s="14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9" t="n"/>
      <c r="M606" s="19" t="n"/>
      <c r="N606" s="13" t="n"/>
      <c r="O606" s="13" t="n"/>
    </row>
    <row r="607">
      <c r="A607" s="13" t="n"/>
      <c r="B607" s="14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9" t="n"/>
      <c r="M607" s="19" t="n"/>
      <c r="N607" s="13" t="n"/>
      <c r="O607" s="13" t="n"/>
    </row>
    <row r="608">
      <c r="A608" s="13" t="n"/>
      <c r="B608" s="14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9" t="n"/>
      <c r="M608" s="19" t="n"/>
      <c r="N608" s="13" t="n"/>
      <c r="O608" s="13" t="n"/>
    </row>
    <row r="609">
      <c r="A609" s="13" t="n"/>
      <c r="B609" s="14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9" t="n"/>
      <c r="M609" s="19" t="n"/>
      <c r="N609" s="13" t="n"/>
      <c r="O609" s="13" t="n"/>
    </row>
    <row r="610">
      <c r="A610" s="13" t="n"/>
      <c r="B610" s="14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9" t="n"/>
      <c r="M610" s="19" t="n"/>
      <c r="N610" s="13" t="n"/>
      <c r="O610" s="13" t="n"/>
    </row>
    <row r="611">
      <c r="A611" s="13" t="n"/>
      <c r="B611" s="14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9" t="n"/>
      <c r="M611" s="19" t="n"/>
      <c r="N611" s="13" t="n"/>
      <c r="O611" s="13" t="n"/>
    </row>
    <row r="612">
      <c r="A612" s="13" t="n"/>
      <c r="B612" s="14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9" t="n"/>
      <c r="M612" s="19" t="n"/>
      <c r="N612" s="13" t="n"/>
      <c r="O612" s="13" t="n"/>
    </row>
    <row r="613">
      <c r="A613" s="13" t="n"/>
      <c r="B613" s="14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9" t="n"/>
      <c r="M613" s="19" t="n"/>
      <c r="N613" s="13" t="n"/>
      <c r="O613" s="13" t="n"/>
    </row>
    <row r="614">
      <c r="A614" s="13" t="n"/>
      <c r="B614" s="14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9" t="n"/>
      <c r="M614" s="19" t="n"/>
      <c r="N614" s="13" t="n"/>
      <c r="O614" s="13" t="n"/>
    </row>
    <row r="615">
      <c r="A615" s="13" t="n"/>
      <c r="B615" s="14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9" t="n"/>
      <c r="M615" s="19" t="n"/>
      <c r="N615" s="13" t="n"/>
      <c r="O615" s="13" t="n"/>
    </row>
    <row r="616">
      <c r="A616" s="13" t="n"/>
      <c r="B616" s="14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9" t="n"/>
      <c r="M616" s="19" t="n"/>
      <c r="N616" s="13" t="n"/>
      <c r="O616" s="13" t="n"/>
    </row>
    <row r="617">
      <c r="A617" s="13" t="n"/>
      <c r="B617" s="14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9" t="n"/>
      <c r="M617" s="19" t="n"/>
      <c r="N617" s="13" t="n"/>
      <c r="O617" s="13" t="n"/>
    </row>
    <row r="618">
      <c r="A618" s="13" t="n"/>
      <c r="B618" s="14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9" t="n"/>
      <c r="M618" s="19" t="n"/>
      <c r="N618" s="13" t="n"/>
      <c r="O618" s="13" t="n"/>
    </row>
    <row r="619">
      <c r="A619" s="13" t="n"/>
      <c r="B619" s="14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9" t="n"/>
      <c r="M619" s="19" t="n"/>
      <c r="N619" s="13" t="n"/>
      <c r="O619" s="13" t="n"/>
    </row>
    <row r="620">
      <c r="A620" s="13" t="n"/>
      <c r="B620" s="14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9" t="n"/>
      <c r="M620" s="19" t="n"/>
      <c r="N620" s="13" t="n"/>
      <c r="O620" s="13" t="n"/>
    </row>
    <row r="621">
      <c r="A621" s="13" t="n"/>
      <c r="B621" s="14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9" t="n"/>
      <c r="M621" s="19" t="n"/>
      <c r="N621" s="13" t="n"/>
      <c r="O621" s="13" t="n"/>
    </row>
    <row r="622">
      <c r="A622" s="13" t="n"/>
      <c r="B622" s="14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9" t="n"/>
      <c r="M622" s="19" t="n"/>
      <c r="N622" s="13" t="n"/>
      <c r="O622" s="13" t="n"/>
    </row>
    <row r="623">
      <c r="A623" s="13" t="n"/>
      <c r="B623" s="14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9" t="n"/>
      <c r="M623" s="19" t="n"/>
      <c r="N623" s="13" t="n"/>
      <c r="O623" s="13" t="n"/>
    </row>
    <row r="624">
      <c r="A624" s="13" t="n"/>
      <c r="B624" s="14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9" t="n"/>
      <c r="M624" s="19" t="n"/>
      <c r="N624" s="13" t="n"/>
      <c r="O624" s="13" t="n"/>
    </row>
    <row r="625">
      <c r="A625" s="13" t="n"/>
      <c r="B625" s="14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9" t="n"/>
      <c r="M625" s="19" t="n"/>
      <c r="N625" s="13" t="n"/>
      <c r="O625" s="13" t="n"/>
    </row>
    <row r="626">
      <c r="A626" s="13" t="n"/>
      <c r="B626" s="14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9" t="n"/>
      <c r="M626" s="19" t="n"/>
      <c r="N626" s="13" t="n"/>
      <c r="O626" s="13" t="n"/>
    </row>
    <row r="627">
      <c r="A627" s="13" t="n"/>
      <c r="B627" s="14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9" t="n"/>
      <c r="M627" s="19" t="n"/>
      <c r="N627" s="13" t="n"/>
      <c r="O627" s="13" t="n"/>
    </row>
    <row r="628">
      <c r="A628" s="13" t="n"/>
      <c r="B628" s="14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9" t="n"/>
      <c r="M628" s="19" t="n"/>
      <c r="N628" s="13" t="n"/>
      <c r="O628" s="13" t="n"/>
    </row>
    <row r="629">
      <c r="A629" s="13" t="n"/>
      <c r="B629" s="14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9" t="n"/>
      <c r="M629" s="19" t="n"/>
      <c r="N629" s="13" t="n"/>
      <c r="O629" s="13" t="n"/>
    </row>
    <row r="630">
      <c r="A630" s="13" t="n"/>
      <c r="B630" s="14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9" t="n"/>
      <c r="M630" s="19" t="n"/>
      <c r="N630" s="13" t="n"/>
      <c r="O630" s="13" t="n"/>
    </row>
    <row r="631">
      <c r="A631" s="13" t="n"/>
      <c r="B631" s="14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9" t="n"/>
      <c r="M631" s="19" t="n"/>
      <c r="N631" s="13" t="n"/>
      <c r="O631" s="13" t="n"/>
    </row>
    <row r="632">
      <c r="A632" s="13" t="n"/>
      <c r="B632" s="14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9" t="n"/>
      <c r="M632" s="19" t="n"/>
      <c r="N632" s="13" t="n"/>
      <c r="O632" s="13" t="n"/>
    </row>
    <row r="633">
      <c r="A633" s="13" t="n"/>
      <c r="B633" s="14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9" t="n"/>
      <c r="M633" s="19" t="n"/>
      <c r="N633" s="13" t="n"/>
      <c r="O633" s="13" t="n"/>
    </row>
    <row r="634">
      <c r="A634" s="13" t="n"/>
      <c r="B634" s="14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9" t="n"/>
      <c r="M634" s="19" t="n"/>
      <c r="N634" s="13" t="n"/>
      <c r="O634" s="13" t="n"/>
    </row>
    <row r="635">
      <c r="A635" s="13" t="n"/>
      <c r="B635" s="14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9" t="n"/>
      <c r="M635" s="19" t="n"/>
      <c r="N635" s="13" t="n"/>
      <c r="O635" s="13" t="n"/>
    </row>
    <row r="636">
      <c r="A636" s="13" t="n"/>
      <c r="B636" s="14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9" t="n"/>
      <c r="M636" s="19" t="n"/>
      <c r="N636" s="13" t="n"/>
      <c r="O636" s="13" t="n"/>
    </row>
    <row r="637">
      <c r="A637" s="13" t="n"/>
      <c r="B637" s="14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9" t="n"/>
      <c r="M637" s="19" t="n"/>
      <c r="N637" s="13" t="n"/>
      <c r="O637" s="13" t="n"/>
    </row>
    <row r="638">
      <c r="A638" s="13" t="n"/>
      <c r="B638" s="14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9" t="n"/>
      <c r="M638" s="19" t="n"/>
      <c r="N638" s="13" t="n"/>
      <c r="O638" s="13" t="n"/>
    </row>
    <row r="639">
      <c r="A639" s="13" t="n"/>
      <c r="B639" s="14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9" t="n"/>
      <c r="M639" s="19" t="n"/>
      <c r="N639" s="13" t="n"/>
      <c r="O639" s="13" t="n"/>
    </row>
    <row r="640">
      <c r="A640" s="13" t="n"/>
      <c r="B640" s="14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9" t="n"/>
      <c r="M640" s="19" t="n"/>
      <c r="N640" s="13" t="n"/>
      <c r="O640" s="13" t="n"/>
    </row>
    <row r="641">
      <c r="A641" s="13" t="n"/>
      <c r="B641" s="14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9" t="n"/>
      <c r="M641" s="19" t="n"/>
      <c r="N641" s="13" t="n"/>
      <c r="O641" s="13" t="n"/>
    </row>
    <row r="642">
      <c r="A642" s="13" t="n"/>
      <c r="B642" s="14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9" t="n"/>
      <c r="M642" s="19" t="n"/>
      <c r="N642" s="13" t="n"/>
      <c r="O642" s="13" t="n"/>
    </row>
    <row r="643">
      <c r="A643" s="13" t="n"/>
      <c r="B643" s="14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9" t="n"/>
      <c r="M643" s="19" t="n"/>
      <c r="N643" s="13" t="n"/>
      <c r="O643" s="13" t="n"/>
    </row>
    <row r="644">
      <c r="A644" s="13" t="n"/>
      <c r="B644" s="14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9" t="n"/>
      <c r="M644" s="19" t="n"/>
      <c r="N644" s="13" t="n"/>
      <c r="O644" s="13" t="n"/>
    </row>
    <row r="645">
      <c r="A645" s="13" t="n"/>
      <c r="B645" s="14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9" t="n"/>
      <c r="M645" s="19" t="n"/>
      <c r="N645" s="13" t="n"/>
      <c r="O645" s="13" t="n"/>
    </row>
    <row r="646">
      <c r="A646" s="13" t="n"/>
      <c r="B646" s="14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9" t="n"/>
      <c r="M646" s="19" t="n"/>
      <c r="N646" s="13" t="n"/>
      <c r="O646" s="13" t="n"/>
    </row>
    <row r="647">
      <c r="A647" s="13" t="n"/>
      <c r="B647" s="14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9" t="n"/>
      <c r="M647" s="19" t="n"/>
      <c r="N647" s="13" t="n"/>
      <c r="O647" s="13" t="n"/>
    </row>
    <row r="648">
      <c r="A648" s="13" t="n"/>
      <c r="B648" s="14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9" t="n"/>
      <c r="M648" s="19" t="n"/>
      <c r="N648" s="13" t="n"/>
      <c r="O648" s="13" t="n"/>
    </row>
    <row r="649">
      <c r="A649" s="13" t="n"/>
      <c r="B649" s="14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9" t="n"/>
      <c r="M649" s="19" t="n"/>
      <c r="N649" s="13" t="n"/>
      <c r="O649" s="13" t="n"/>
    </row>
    <row r="650">
      <c r="A650" s="13" t="n"/>
      <c r="B650" s="14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9" t="n"/>
      <c r="M650" s="19" t="n"/>
      <c r="N650" s="13" t="n"/>
      <c r="O650" s="13" t="n"/>
    </row>
    <row r="651">
      <c r="A651" s="13" t="n"/>
      <c r="B651" s="14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9" t="n"/>
      <c r="M651" s="19" t="n"/>
      <c r="N651" s="13" t="n"/>
      <c r="O651" s="13" t="n"/>
    </row>
    <row r="652">
      <c r="A652" s="13" t="n"/>
      <c r="B652" s="14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9" t="n"/>
      <c r="M652" s="19" t="n"/>
      <c r="N652" s="13" t="n"/>
      <c r="O652" s="13" t="n"/>
    </row>
    <row r="653">
      <c r="A653" s="13" t="n"/>
      <c r="B653" s="14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9" t="n"/>
      <c r="M653" s="19" t="n"/>
      <c r="N653" s="13" t="n"/>
      <c r="O653" s="13" t="n"/>
    </row>
    <row r="654">
      <c r="A654" s="13" t="n"/>
      <c r="B654" s="14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9" t="n"/>
      <c r="M654" s="19" t="n"/>
      <c r="N654" s="13" t="n"/>
      <c r="O654" s="13" t="n"/>
    </row>
    <row r="655">
      <c r="A655" s="13" t="n"/>
      <c r="B655" s="14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9" t="n"/>
      <c r="M655" s="19" t="n"/>
      <c r="N655" s="13" t="n"/>
      <c r="O655" s="13" t="n"/>
    </row>
    <row r="656">
      <c r="A656" s="13" t="n"/>
      <c r="B656" s="14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9" t="n"/>
      <c r="M656" s="19" t="n"/>
      <c r="N656" s="13" t="n"/>
      <c r="O656" s="13" t="n"/>
    </row>
    <row r="657">
      <c r="A657" s="13" t="n"/>
      <c r="B657" s="14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9" t="n"/>
      <c r="M657" s="19" t="n"/>
      <c r="N657" s="13" t="n"/>
      <c r="O657" s="13" t="n"/>
    </row>
    <row r="658">
      <c r="A658" s="13" t="n"/>
      <c r="B658" s="14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9" t="n"/>
      <c r="M658" s="19" t="n"/>
      <c r="N658" s="13" t="n"/>
      <c r="O658" s="13" t="n"/>
    </row>
    <row r="659">
      <c r="A659" s="13" t="n"/>
      <c r="B659" s="14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9" t="n"/>
      <c r="M659" s="19" t="n"/>
      <c r="N659" s="13" t="n"/>
      <c r="O659" s="13" t="n"/>
    </row>
    <row r="660">
      <c r="A660" s="13" t="n"/>
      <c r="B660" s="14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9" t="n"/>
      <c r="M660" s="19" t="n"/>
      <c r="N660" s="13" t="n"/>
      <c r="O660" s="13" t="n"/>
    </row>
    <row r="661">
      <c r="A661" s="13" t="n"/>
      <c r="B661" s="14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9" t="n"/>
      <c r="M661" s="19" t="n"/>
      <c r="N661" s="13" t="n"/>
      <c r="O661" s="13" t="n"/>
    </row>
    <row r="662">
      <c r="A662" s="13" t="n"/>
      <c r="B662" s="14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9" t="n"/>
      <c r="M662" s="19" t="n"/>
      <c r="N662" s="13" t="n"/>
      <c r="O662" s="13" t="n"/>
    </row>
    <row r="663">
      <c r="A663" s="13" t="n"/>
      <c r="B663" s="14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9" t="n"/>
      <c r="M663" s="19" t="n"/>
      <c r="N663" s="13" t="n"/>
      <c r="O663" s="13" t="n"/>
    </row>
    <row r="664">
      <c r="A664" s="13" t="n"/>
      <c r="B664" s="14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9" t="n"/>
      <c r="M664" s="19" t="n"/>
      <c r="N664" s="13" t="n"/>
      <c r="O664" s="13" t="n"/>
    </row>
    <row r="665">
      <c r="A665" s="13" t="n"/>
      <c r="B665" s="14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9" t="n"/>
      <c r="M665" s="19" t="n"/>
      <c r="N665" s="13" t="n"/>
      <c r="O665" s="13" t="n"/>
    </row>
    <row r="666">
      <c r="A666" s="13" t="n"/>
      <c r="B666" s="14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9" t="n"/>
      <c r="M666" s="19" t="n"/>
      <c r="N666" s="13" t="n"/>
      <c r="O666" s="13" t="n"/>
    </row>
    <row r="667">
      <c r="A667" s="13" t="n"/>
      <c r="B667" s="14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9" t="n"/>
      <c r="M667" s="19" t="n"/>
      <c r="N667" s="13" t="n"/>
      <c r="O667" s="13" t="n"/>
    </row>
    <row r="668">
      <c r="A668" s="13" t="n"/>
      <c r="B668" s="14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9" t="n"/>
      <c r="M668" s="19" t="n"/>
      <c r="N668" s="13" t="n"/>
      <c r="O668" s="13" t="n"/>
    </row>
    <row r="669">
      <c r="A669" s="13" t="n"/>
      <c r="B669" s="14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9" t="n"/>
      <c r="M669" s="19" t="n"/>
      <c r="N669" s="13" t="n"/>
      <c r="O669" s="13" t="n"/>
    </row>
    <row r="670">
      <c r="A670" s="13" t="n"/>
      <c r="B670" s="14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9" t="n"/>
      <c r="M670" s="19" t="n"/>
      <c r="N670" s="13" t="n"/>
      <c r="O670" s="13" t="n"/>
    </row>
    <row r="671">
      <c r="A671" s="13" t="n"/>
      <c r="B671" s="14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9" t="n"/>
      <c r="M671" s="19" t="n"/>
      <c r="N671" s="13" t="n"/>
      <c r="O671" s="13" t="n"/>
    </row>
    <row r="672">
      <c r="A672" s="13" t="n"/>
      <c r="B672" s="14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9" t="n"/>
      <c r="M672" s="19" t="n"/>
      <c r="N672" s="13" t="n"/>
      <c r="O672" s="13" t="n"/>
    </row>
    <row r="673">
      <c r="A673" s="13" t="n"/>
      <c r="B673" s="14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9" t="n"/>
      <c r="M673" s="19" t="n"/>
      <c r="N673" s="13" t="n"/>
      <c r="O673" s="13" t="n"/>
    </row>
    <row r="674">
      <c r="A674" s="13" t="n"/>
      <c r="B674" s="14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9" t="n"/>
      <c r="M674" s="19" t="n"/>
      <c r="N674" s="13" t="n"/>
      <c r="O674" s="13" t="n"/>
    </row>
    <row r="675">
      <c r="A675" s="13" t="n"/>
      <c r="B675" s="14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9" t="n"/>
      <c r="M675" s="19" t="n"/>
      <c r="N675" s="13" t="n"/>
      <c r="O675" s="13" t="n"/>
    </row>
    <row r="676">
      <c r="A676" s="13" t="n"/>
      <c r="B676" s="14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9" t="n"/>
      <c r="M676" s="19" t="n"/>
      <c r="N676" s="13" t="n"/>
      <c r="O676" s="13" t="n"/>
    </row>
    <row r="677">
      <c r="A677" s="13" t="n"/>
      <c r="B677" s="14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9" t="n"/>
      <c r="M677" s="19" t="n"/>
      <c r="N677" s="13" t="n"/>
      <c r="O677" s="13" t="n"/>
    </row>
    <row r="678">
      <c r="A678" s="13" t="n"/>
      <c r="B678" s="14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9" t="n"/>
      <c r="M678" s="19" t="n"/>
      <c r="N678" s="13" t="n"/>
      <c r="O678" s="13" t="n"/>
    </row>
    <row r="679">
      <c r="A679" s="13" t="n"/>
      <c r="B679" s="14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9" t="n"/>
      <c r="M679" s="19" t="n"/>
      <c r="N679" s="13" t="n"/>
      <c r="O679" s="13" t="n"/>
    </row>
    <row r="680">
      <c r="A680" s="13" t="n"/>
      <c r="B680" s="14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9" t="n"/>
      <c r="M680" s="19" t="n"/>
      <c r="N680" s="13" t="n"/>
      <c r="O680" s="13" t="n"/>
    </row>
    <row r="681">
      <c r="A681" s="13" t="n"/>
      <c r="B681" s="14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9" t="n"/>
      <c r="M681" s="19" t="n"/>
      <c r="N681" s="13" t="n"/>
      <c r="O681" s="13" t="n"/>
    </row>
    <row r="682">
      <c r="A682" s="13" t="n"/>
      <c r="B682" s="14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9" t="n"/>
      <c r="M682" s="19" t="n"/>
      <c r="N682" s="13" t="n"/>
      <c r="O682" s="13" t="n"/>
    </row>
    <row r="683">
      <c r="A683" s="13" t="n"/>
      <c r="B683" s="14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9" t="n"/>
      <c r="M683" s="19" t="n"/>
      <c r="N683" s="13" t="n"/>
      <c r="O683" s="13" t="n"/>
    </row>
    <row r="684">
      <c r="A684" s="13" t="n"/>
      <c r="B684" s="14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9" t="n"/>
      <c r="M684" s="19" t="n"/>
      <c r="N684" s="13" t="n"/>
      <c r="O684" s="13" t="n"/>
    </row>
    <row r="685">
      <c r="A685" s="13" t="n"/>
      <c r="B685" s="14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9" t="n"/>
      <c r="M685" s="19" t="n"/>
      <c r="N685" s="13" t="n"/>
      <c r="O685" s="13" t="n"/>
    </row>
    <row r="686">
      <c r="A686" s="13" t="n"/>
      <c r="B686" s="14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9" t="n"/>
      <c r="M686" s="19" t="n"/>
      <c r="N686" s="13" t="n"/>
      <c r="O686" s="13" t="n"/>
    </row>
    <row r="687">
      <c r="A687" s="13" t="n"/>
      <c r="B687" s="14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9" t="n"/>
      <c r="M687" s="19" t="n"/>
      <c r="N687" s="13" t="n"/>
      <c r="O687" s="13" t="n"/>
    </row>
    <row r="688">
      <c r="A688" s="13" t="n"/>
      <c r="B688" s="14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9" t="n"/>
      <c r="M688" s="19" t="n"/>
      <c r="N688" s="13" t="n"/>
      <c r="O688" s="13" t="n"/>
    </row>
    <row r="689">
      <c r="A689" s="13" t="n"/>
      <c r="B689" s="14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9" t="n"/>
      <c r="M689" s="19" t="n"/>
      <c r="N689" s="13" t="n"/>
      <c r="O689" s="13" t="n"/>
    </row>
    <row r="690">
      <c r="A690" s="13" t="n"/>
      <c r="B690" s="14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9" t="n"/>
      <c r="M690" s="19" t="n"/>
      <c r="N690" s="13" t="n"/>
      <c r="O690" s="13" t="n"/>
    </row>
    <row r="691">
      <c r="A691" s="13" t="n"/>
      <c r="B691" s="14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9" t="n"/>
      <c r="M691" s="19" t="n"/>
      <c r="N691" s="13" t="n"/>
      <c r="O691" s="13" t="n"/>
    </row>
    <row r="692">
      <c r="A692" s="13" t="n"/>
      <c r="B692" s="14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9" t="n"/>
      <c r="M692" s="19" t="n"/>
      <c r="N692" s="13" t="n"/>
      <c r="O692" s="13" t="n"/>
    </row>
    <row r="693">
      <c r="A693" s="13" t="n"/>
      <c r="B693" s="14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9" t="n"/>
      <c r="M693" s="19" t="n"/>
      <c r="N693" s="13" t="n"/>
      <c r="O693" s="13" t="n"/>
    </row>
    <row r="694">
      <c r="A694" s="13" t="n"/>
      <c r="B694" s="14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9" t="n"/>
      <c r="M694" s="19" t="n"/>
      <c r="N694" s="13" t="n"/>
      <c r="O694" s="13" t="n"/>
    </row>
    <row r="695">
      <c r="A695" s="13" t="n"/>
      <c r="B695" s="14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9" t="n"/>
      <c r="M695" s="19" t="n"/>
      <c r="N695" s="13" t="n"/>
      <c r="O695" s="13" t="n"/>
    </row>
    <row r="696">
      <c r="A696" s="13" t="n"/>
      <c r="B696" s="14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9" t="n"/>
      <c r="M696" s="19" t="n"/>
      <c r="N696" s="13" t="n"/>
      <c r="O696" s="13" t="n"/>
    </row>
    <row r="697">
      <c r="A697" s="13" t="n"/>
      <c r="B697" s="14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9" t="n"/>
      <c r="M697" s="19" t="n"/>
      <c r="N697" s="13" t="n"/>
      <c r="O697" s="13" t="n"/>
    </row>
    <row r="698">
      <c r="A698" s="13" t="n"/>
      <c r="B698" s="14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9" t="n"/>
      <c r="M698" s="19" t="n"/>
      <c r="N698" s="13" t="n"/>
      <c r="O698" s="13" t="n"/>
    </row>
    <row r="699">
      <c r="A699" s="13" t="n"/>
      <c r="B699" s="14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9" t="n"/>
      <c r="M699" s="19" t="n"/>
      <c r="N699" s="13" t="n"/>
      <c r="O699" s="13" t="n"/>
    </row>
    <row r="700">
      <c r="A700" s="13" t="n"/>
      <c r="B700" s="14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9" t="n"/>
      <c r="M700" s="19" t="n"/>
      <c r="N700" s="13" t="n"/>
      <c r="O700" s="13" t="n"/>
    </row>
    <row r="701">
      <c r="A701" s="13" t="n"/>
      <c r="B701" s="14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9" t="n"/>
      <c r="M701" s="19" t="n"/>
      <c r="N701" s="13" t="n"/>
      <c r="O701" s="13" t="n"/>
    </row>
    <row r="702">
      <c r="A702" s="13" t="n"/>
      <c r="B702" s="14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9" t="n"/>
      <c r="M702" s="19" t="n"/>
      <c r="N702" s="13" t="n"/>
      <c r="O702" s="13" t="n"/>
    </row>
    <row r="703">
      <c r="A703" s="13" t="n"/>
      <c r="B703" s="14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9" t="n"/>
      <c r="M703" s="19" t="n"/>
      <c r="N703" s="13" t="n"/>
      <c r="O703" s="13" t="n"/>
    </row>
    <row r="704">
      <c r="A704" s="13" t="n"/>
      <c r="B704" s="14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9" t="n"/>
      <c r="M704" s="19" t="n"/>
      <c r="N704" s="13" t="n"/>
      <c r="O704" s="13" t="n"/>
    </row>
    <row r="705">
      <c r="A705" s="13" t="n"/>
      <c r="B705" s="14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9" t="n"/>
      <c r="M705" s="19" t="n"/>
      <c r="N705" s="13" t="n"/>
      <c r="O705" s="13" t="n"/>
    </row>
    <row r="706">
      <c r="A706" s="13" t="n"/>
      <c r="B706" s="14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9" t="n"/>
      <c r="M706" s="19" t="n"/>
      <c r="N706" s="13" t="n"/>
      <c r="O706" s="13" t="n"/>
    </row>
    <row r="707">
      <c r="A707" s="13" t="n"/>
      <c r="B707" s="14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9" t="n"/>
      <c r="M707" s="19" t="n"/>
      <c r="N707" s="13" t="n"/>
      <c r="O707" s="13" t="n"/>
    </row>
    <row r="708">
      <c r="A708" s="13" t="n"/>
      <c r="B708" s="14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9" t="n"/>
      <c r="M708" s="19" t="n"/>
      <c r="N708" s="13" t="n"/>
      <c r="O708" s="13" t="n"/>
    </row>
    <row r="709">
      <c r="A709" s="13" t="n"/>
      <c r="B709" s="14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9" t="n"/>
      <c r="M709" s="19" t="n"/>
      <c r="N709" s="13" t="n"/>
      <c r="O709" s="13" t="n"/>
    </row>
    <row r="710">
      <c r="A710" s="13" t="n"/>
      <c r="B710" s="14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9" t="n"/>
      <c r="M710" s="19" t="n"/>
      <c r="N710" s="13" t="n"/>
      <c r="O710" s="13" t="n"/>
    </row>
    <row r="711">
      <c r="A711" s="13" t="n"/>
      <c r="B711" s="14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9" t="n"/>
      <c r="M711" s="19" t="n"/>
      <c r="N711" s="13" t="n"/>
      <c r="O711" s="13" t="n"/>
    </row>
    <row r="712">
      <c r="A712" s="13" t="n"/>
      <c r="B712" s="14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9" t="n"/>
      <c r="M712" s="19" t="n"/>
      <c r="N712" s="13" t="n"/>
      <c r="O712" s="13" t="n"/>
    </row>
    <row r="713">
      <c r="A713" s="13" t="n"/>
      <c r="B713" s="14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9" t="n"/>
      <c r="M713" s="19" t="n"/>
      <c r="N713" s="13" t="n"/>
      <c r="O713" s="13" t="n"/>
    </row>
    <row r="714">
      <c r="A714" s="13" t="n"/>
      <c r="B714" s="14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9" t="n"/>
      <c r="M714" s="19" t="n"/>
      <c r="N714" s="13" t="n"/>
      <c r="O714" s="13" t="n"/>
    </row>
    <row r="715">
      <c r="A715" s="13" t="n"/>
      <c r="B715" s="14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9" t="n"/>
      <c r="M715" s="19" t="n"/>
      <c r="N715" s="13" t="n"/>
      <c r="O715" s="13" t="n"/>
    </row>
    <row r="716">
      <c r="A716" s="13" t="n"/>
      <c r="B716" s="14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9" t="n"/>
      <c r="M716" s="19" t="n"/>
      <c r="N716" s="13" t="n"/>
      <c r="O716" s="13" t="n"/>
    </row>
    <row r="717">
      <c r="A717" s="13" t="n"/>
      <c r="B717" s="14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9" t="n"/>
      <c r="M717" s="19" t="n"/>
      <c r="N717" s="13" t="n"/>
      <c r="O717" s="13" t="n"/>
    </row>
    <row r="718">
      <c r="A718" s="13" t="n"/>
      <c r="B718" s="14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9" t="n"/>
      <c r="M718" s="19" t="n"/>
      <c r="N718" s="13" t="n"/>
      <c r="O718" s="13" t="n"/>
    </row>
    <row r="719">
      <c r="A719" s="13" t="n"/>
      <c r="B719" s="14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9" t="n"/>
      <c r="M719" s="19" t="n"/>
      <c r="N719" s="13" t="n"/>
      <c r="O719" s="13" t="n"/>
    </row>
    <row r="720">
      <c r="A720" s="13" t="n"/>
      <c r="B720" s="14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9" t="n"/>
      <c r="M720" s="19" t="n"/>
      <c r="N720" s="13" t="n"/>
      <c r="O720" s="13" t="n"/>
    </row>
    <row r="721">
      <c r="A721" s="13" t="n"/>
      <c r="B721" s="14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9" t="n"/>
      <c r="M721" s="19" t="n"/>
      <c r="N721" s="13" t="n"/>
      <c r="O721" s="13" t="n"/>
    </row>
    <row r="722">
      <c r="A722" s="13" t="n"/>
      <c r="B722" s="14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9" t="n"/>
      <c r="M722" s="19" t="n"/>
      <c r="N722" s="13" t="n"/>
      <c r="O722" s="13" t="n"/>
    </row>
    <row r="723">
      <c r="A723" s="13" t="n"/>
      <c r="B723" s="14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9" t="n"/>
      <c r="M723" s="19" t="n"/>
      <c r="N723" s="13" t="n"/>
      <c r="O723" s="13" t="n"/>
    </row>
    <row r="724">
      <c r="A724" s="13" t="n"/>
      <c r="B724" s="14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9" t="n"/>
      <c r="M724" s="19" t="n"/>
      <c r="N724" s="13" t="n"/>
      <c r="O724" s="13" t="n"/>
    </row>
    <row r="725">
      <c r="A725" s="13" t="n"/>
      <c r="B725" s="14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9" t="n"/>
      <c r="M725" s="19" t="n"/>
      <c r="N725" s="13" t="n"/>
      <c r="O725" s="13" t="n"/>
    </row>
    <row r="726">
      <c r="A726" s="13" t="n"/>
      <c r="B726" s="14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9" t="n"/>
      <c r="M726" s="19" t="n"/>
      <c r="N726" s="13" t="n"/>
      <c r="O726" s="13" t="n"/>
    </row>
    <row r="727">
      <c r="A727" s="13" t="n"/>
      <c r="B727" s="14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9" t="n"/>
      <c r="M727" s="19" t="n"/>
      <c r="N727" s="13" t="n"/>
      <c r="O727" s="13" t="n"/>
    </row>
    <row r="728">
      <c r="A728" s="13" t="n"/>
      <c r="B728" s="14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9" t="n"/>
      <c r="M728" s="19" t="n"/>
      <c r="N728" s="13" t="n"/>
      <c r="O728" s="13" t="n"/>
    </row>
    <row r="729">
      <c r="A729" s="13" t="n"/>
      <c r="B729" s="14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9" t="n"/>
      <c r="M729" s="19" t="n"/>
      <c r="N729" s="13" t="n"/>
      <c r="O729" s="13" t="n"/>
    </row>
    <row r="730">
      <c r="A730" s="13" t="n"/>
      <c r="B730" s="14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9" t="n"/>
      <c r="M730" s="19" t="n"/>
      <c r="N730" s="13" t="n"/>
      <c r="O730" s="13" t="n"/>
    </row>
    <row r="731">
      <c r="A731" s="13" t="n"/>
      <c r="B731" s="14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9" t="n"/>
      <c r="M731" s="19" t="n"/>
      <c r="N731" s="13" t="n"/>
      <c r="O731" s="13" t="n"/>
    </row>
    <row r="732">
      <c r="A732" s="13" t="n"/>
      <c r="B732" s="14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9" t="n"/>
      <c r="M732" s="19" t="n"/>
      <c r="N732" s="13" t="n"/>
      <c r="O732" s="13" t="n"/>
    </row>
    <row r="733">
      <c r="A733" s="13" t="n"/>
      <c r="B733" s="14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9" t="n"/>
      <c r="M733" s="19" t="n"/>
      <c r="N733" s="13" t="n"/>
      <c r="O733" s="13" t="n"/>
    </row>
    <row r="734">
      <c r="A734" s="13" t="n"/>
      <c r="B734" s="14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9" t="n"/>
      <c r="M734" s="19" t="n"/>
      <c r="N734" s="13" t="n"/>
      <c r="O734" s="13" t="n"/>
    </row>
    <row r="735">
      <c r="A735" s="13" t="n"/>
      <c r="B735" s="14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9" t="n"/>
      <c r="M735" s="19" t="n"/>
      <c r="N735" s="13" t="n"/>
      <c r="O735" s="13" t="n"/>
    </row>
    <row r="736">
      <c r="A736" s="13" t="n"/>
      <c r="B736" s="14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9" t="n"/>
      <c r="M736" s="19" t="n"/>
      <c r="N736" s="13" t="n"/>
      <c r="O736" s="13" t="n"/>
    </row>
    <row r="737">
      <c r="A737" s="13" t="n"/>
      <c r="B737" s="14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9" t="n"/>
      <c r="M737" s="19" t="n"/>
      <c r="N737" s="13" t="n"/>
      <c r="O737" s="13" t="n"/>
    </row>
    <row r="738">
      <c r="A738" s="13" t="n"/>
      <c r="B738" s="14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9" t="n"/>
      <c r="M738" s="19" t="n"/>
      <c r="N738" s="13" t="n"/>
      <c r="O738" s="13" t="n"/>
    </row>
    <row r="739">
      <c r="A739" s="13" t="n"/>
      <c r="B739" s="14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9" t="n"/>
      <c r="M739" s="19" t="n"/>
      <c r="N739" s="13" t="n"/>
      <c r="O739" s="13" t="n"/>
    </row>
    <row r="740">
      <c r="A740" s="13" t="n"/>
      <c r="B740" s="14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9" t="n"/>
      <c r="M740" s="19" t="n"/>
      <c r="N740" s="13" t="n"/>
      <c r="O740" s="13" t="n"/>
    </row>
    <row r="741">
      <c r="A741" s="13" t="n"/>
      <c r="B741" s="14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9" t="n"/>
      <c r="M741" s="19" t="n"/>
      <c r="N741" s="13" t="n"/>
      <c r="O741" s="13" t="n"/>
    </row>
    <row r="742">
      <c r="A742" s="13" t="n"/>
      <c r="B742" s="14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9" t="n"/>
      <c r="M742" s="19" t="n"/>
      <c r="N742" s="13" t="n"/>
      <c r="O742" s="13" t="n"/>
    </row>
    <row r="743">
      <c r="A743" s="13" t="n"/>
      <c r="B743" s="14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9" t="n"/>
      <c r="M743" s="19" t="n"/>
      <c r="N743" s="13" t="n"/>
      <c r="O743" s="13" t="n"/>
    </row>
    <row r="744">
      <c r="A744" s="13" t="n"/>
      <c r="B744" s="14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9" t="n"/>
      <c r="M744" s="19" t="n"/>
      <c r="N744" s="13" t="n"/>
      <c r="O744" s="13" t="n"/>
    </row>
    <row r="745">
      <c r="A745" s="13" t="n"/>
      <c r="B745" s="14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9" t="n"/>
      <c r="M745" s="19" t="n"/>
      <c r="N745" s="13" t="n"/>
      <c r="O745" s="13" t="n"/>
    </row>
    <row r="746">
      <c r="A746" s="13" t="n"/>
      <c r="B746" s="14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9" t="n"/>
      <c r="M746" s="19" t="n"/>
      <c r="N746" s="13" t="n"/>
      <c r="O746" s="13" t="n"/>
    </row>
    <row r="747">
      <c r="A747" s="13" t="n"/>
      <c r="B747" s="14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9" t="n"/>
      <c r="M747" s="19" t="n"/>
      <c r="N747" s="13" t="n"/>
      <c r="O747" s="13" t="n"/>
    </row>
    <row r="748">
      <c r="A748" s="13" t="n"/>
      <c r="B748" s="14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9" t="n"/>
      <c r="M748" s="19" t="n"/>
      <c r="N748" s="13" t="n"/>
      <c r="O748" s="13" t="n"/>
    </row>
    <row r="749">
      <c r="A749" s="13" t="n"/>
      <c r="B749" s="14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9" t="n"/>
      <c r="M749" s="19" t="n"/>
      <c r="N749" s="13" t="n"/>
      <c r="O749" s="13" t="n"/>
    </row>
    <row r="750">
      <c r="A750" s="13" t="n"/>
      <c r="B750" s="14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9" t="n"/>
      <c r="M750" s="19" t="n"/>
      <c r="N750" s="13" t="n"/>
      <c r="O750" s="13" t="n"/>
    </row>
    <row r="751">
      <c r="A751" s="13" t="n"/>
      <c r="B751" s="14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9" t="n"/>
      <c r="M751" s="19" t="n"/>
      <c r="N751" s="13" t="n"/>
      <c r="O751" s="13" t="n"/>
    </row>
    <row r="752">
      <c r="A752" s="13" t="n"/>
      <c r="B752" s="14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9" t="n"/>
      <c r="M752" s="19" t="n"/>
      <c r="N752" s="13" t="n"/>
      <c r="O752" s="13" t="n"/>
    </row>
    <row r="753">
      <c r="A753" s="13" t="n"/>
      <c r="B753" s="14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9" t="n"/>
      <c r="M753" s="19" t="n"/>
      <c r="N753" s="13" t="n"/>
      <c r="O753" s="13" t="n"/>
    </row>
    <row r="754">
      <c r="A754" s="13" t="n"/>
      <c r="B754" s="14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9" t="n"/>
      <c r="M754" s="19" t="n"/>
      <c r="N754" s="13" t="n"/>
      <c r="O754" s="13" t="n"/>
    </row>
    <row r="755">
      <c r="A755" s="13" t="n"/>
      <c r="B755" s="14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9" t="n"/>
      <c r="M755" s="19" t="n"/>
      <c r="N755" s="13" t="n"/>
      <c r="O755" s="13" t="n"/>
    </row>
    <row r="756">
      <c r="A756" s="13" t="n"/>
      <c r="B756" s="14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9" t="n"/>
      <c r="M756" s="19" t="n"/>
      <c r="N756" s="13" t="n"/>
      <c r="O756" s="13" t="n"/>
    </row>
    <row r="757">
      <c r="A757" s="13" t="n"/>
      <c r="B757" s="14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9" t="n"/>
      <c r="M757" s="19" t="n"/>
      <c r="N757" s="13" t="n"/>
      <c r="O757" s="13" t="n"/>
    </row>
    <row r="758">
      <c r="A758" s="13" t="n"/>
      <c r="B758" s="14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9" t="n"/>
      <c r="M758" s="19" t="n"/>
      <c r="N758" s="13" t="n"/>
      <c r="O758" s="13" t="n"/>
    </row>
    <row r="759">
      <c r="A759" s="13" t="n"/>
      <c r="B759" s="14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9" t="n"/>
      <c r="M759" s="19" t="n"/>
      <c r="N759" s="13" t="n"/>
      <c r="O759" s="13" t="n"/>
    </row>
    <row r="760">
      <c r="A760" s="13" t="n"/>
      <c r="B760" s="14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9" t="n"/>
      <c r="M760" s="19" t="n"/>
      <c r="N760" s="13" t="n"/>
      <c r="O760" s="13" t="n"/>
    </row>
    <row r="761">
      <c r="A761" s="13" t="n"/>
      <c r="B761" s="14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9" t="n"/>
      <c r="M761" s="19" t="n"/>
      <c r="N761" s="13" t="n"/>
      <c r="O761" s="13" t="n"/>
    </row>
    <row r="762">
      <c r="A762" s="13" t="n"/>
      <c r="B762" s="14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9" t="n"/>
      <c r="M762" s="19" t="n"/>
      <c r="N762" s="13" t="n"/>
      <c r="O762" s="13" t="n"/>
    </row>
    <row r="763">
      <c r="A763" s="13" t="n"/>
      <c r="B763" s="14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9" t="n"/>
      <c r="M763" s="19" t="n"/>
      <c r="N763" s="13" t="n"/>
      <c r="O763" s="13" t="n"/>
    </row>
    <row r="764">
      <c r="A764" s="13" t="n"/>
      <c r="B764" s="14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9" t="n"/>
      <c r="M764" s="19" t="n"/>
      <c r="N764" s="13" t="n"/>
      <c r="O764" s="13" t="n"/>
    </row>
    <row r="765">
      <c r="A765" s="13" t="n"/>
      <c r="B765" s="14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9" t="n"/>
      <c r="M765" s="19" t="n"/>
      <c r="N765" s="13" t="n"/>
      <c r="O765" s="13" t="n"/>
    </row>
    <row r="766">
      <c r="A766" s="13" t="n"/>
      <c r="B766" s="14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9" t="n"/>
      <c r="M766" s="19" t="n"/>
      <c r="N766" s="13" t="n"/>
      <c r="O766" s="13" t="n"/>
    </row>
    <row r="767">
      <c r="A767" s="13" t="n"/>
      <c r="B767" s="14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9" t="n"/>
      <c r="M767" s="19" t="n"/>
      <c r="N767" s="13" t="n"/>
      <c r="O767" s="13" t="n"/>
    </row>
    <row r="768">
      <c r="A768" s="13" t="n"/>
      <c r="B768" s="14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9" t="n"/>
      <c r="M768" s="19" t="n"/>
      <c r="N768" s="13" t="n"/>
      <c r="O768" s="13" t="n"/>
    </row>
    <row r="769">
      <c r="A769" s="13" t="n"/>
      <c r="B769" s="14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9" t="n"/>
      <c r="M769" s="19" t="n"/>
      <c r="N769" s="13" t="n"/>
      <c r="O769" s="13" t="n"/>
    </row>
    <row r="770">
      <c r="A770" s="13" t="n"/>
      <c r="B770" s="14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9" t="n"/>
      <c r="M770" s="19" t="n"/>
      <c r="N770" s="13" t="n"/>
      <c r="O770" s="13" t="n"/>
    </row>
    <row r="771">
      <c r="A771" s="13" t="n"/>
      <c r="B771" s="14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9" t="n"/>
      <c r="M771" s="19" t="n"/>
      <c r="N771" s="13" t="n"/>
      <c r="O771" s="13" t="n"/>
    </row>
    <row r="772">
      <c r="A772" s="13" t="n"/>
      <c r="B772" s="14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9" t="n"/>
      <c r="M772" s="19" t="n"/>
      <c r="N772" s="13" t="n"/>
      <c r="O772" s="13" t="n"/>
    </row>
    <row r="773">
      <c r="A773" s="13" t="n"/>
      <c r="B773" s="14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9" t="n"/>
      <c r="M773" s="19" t="n"/>
      <c r="N773" s="13" t="n"/>
      <c r="O773" s="13" t="n"/>
    </row>
    <row r="774">
      <c r="A774" s="13" t="n"/>
      <c r="B774" s="14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9" t="n"/>
      <c r="M774" s="19" t="n"/>
      <c r="N774" s="13" t="n"/>
      <c r="O774" s="13" t="n"/>
    </row>
    <row r="775">
      <c r="A775" s="13" t="n"/>
      <c r="B775" s="14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9" t="n"/>
      <c r="M775" s="19" t="n"/>
      <c r="N775" s="13" t="n"/>
      <c r="O775" s="13" t="n"/>
    </row>
    <row r="776">
      <c r="A776" s="13" t="n"/>
      <c r="B776" s="14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9" t="n"/>
      <c r="M776" s="19" t="n"/>
      <c r="N776" s="13" t="n"/>
      <c r="O776" s="13" t="n"/>
    </row>
    <row r="777">
      <c r="A777" s="13" t="n"/>
      <c r="B777" s="14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9" t="n"/>
      <c r="M777" s="19" t="n"/>
      <c r="N777" s="13" t="n"/>
      <c r="O777" s="13" t="n"/>
    </row>
    <row r="778">
      <c r="A778" s="13" t="n"/>
      <c r="B778" s="14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9" t="n"/>
      <c r="M778" s="19" t="n"/>
      <c r="N778" s="13" t="n"/>
      <c r="O778" s="13" t="n"/>
    </row>
    <row r="779">
      <c r="A779" s="13" t="n"/>
      <c r="B779" s="14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9" t="n"/>
      <c r="M779" s="19" t="n"/>
      <c r="N779" s="13" t="n"/>
      <c r="O779" s="13" t="n"/>
    </row>
    <row r="780">
      <c r="A780" s="13" t="n"/>
      <c r="B780" s="14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9" t="n"/>
      <c r="M780" s="19" t="n"/>
      <c r="N780" s="13" t="n"/>
      <c r="O780" s="13" t="n"/>
    </row>
    <row r="781">
      <c r="A781" s="13" t="n"/>
      <c r="B781" s="14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9" t="n"/>
      <c r="M781" s="19" t="n"/>
      <c r="N781" s="13" t="n"/>
      <c r="O781" s="13" t="n"/>
    </row>
    <row r="782">
      <c r="A782" s="13" t="n"/>
      <c r="B782" s="14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9" t="n"/>
      <c r="M782" s="19" t="n"/>
      <c r="N782" s="13" t="n"/>
      <c r="O782" s="13" t="n"/>
    </row>
    <row r="783">
      <c r="A783" s="13" t="n"/>
      <c r="B783" s="14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9" t="n"/>
      <c r="M783" s="19" t="n"/>
      <c r="N783" s="13" t="n"/>
      <c r="O783" s="13" t="n"/>
    </row>
    <row r="784">
      <c r="A784" s="13" t="n"/>
      <c r="B784" s="14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9" t="n"/>
      <c r="M784" s="19" t="n"/>
      <c r="N784" s="13" t="n"/>
      <c r="O784" s="13" t="n"/>
    </row>
    <row r="785">
      <c r="A785" s="13" t="n"/>
      <c r="B785" s="14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9" t="n"/>
      <c r="M785" s="19" t="n"/>
      <c r="N785" s="13" t="n"/>
      <c r="O785" s="13" t="n"/>
    </row>
    <row r="786">
      <c r="A786" s="13" t="n"/>
      <c r="B786" s="14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9" t="n"/>
      <c r="M786" s="19" t="n"/>
      <c r="N786" s="13" t="n"/>
      <c r="O786" s="13" t="n"/>
    </row>
    <row r="787">
      <c r="A787" s="13" t="n"/>
      <c r="B787" s="14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9" t="n"/>
      <c r="M787" s="19" t="n"/>
      <c r="N787" s="13" t="n"/>
      <c r="O787" s="13" t="n"/>
    </row>
    <row r="788">
      <c r="A788" s="13" t="n"/>
      <c r="B788" s="14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9" t="n"/>
      <c r="M788" s="19" t="n"/>
      <c r="N788" s="13" t="n"/>
      <c r="O788" s="13" t="n"/>
    </row>
    <row r="789">
      <c r="A789" s="13" t="n"/>
      <c r="B789" s="14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9" t="n"/>
      <c r="M789" s="19" t="n"/>
      <c r="N789" s="13" t="n"/>
      <c r="O789" s="13" t="n"/>
    </row>
    <row r="790">
      <c r="A790" s="13" t="n"/>
      <c r="B790" s="14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9" t="n"/>
      <c r="M790" s="19" t="n"/>
      <c r="N790" s="13" t="n"/>
      <c r="O790" s="13" t="n"/>
    </row>
    <row r="791">
      <c r="A791" s="13" t="n"/>
      <c r="B791" s="14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9" t="n"/>
      <c r="M791" s="19" t="n"/>
      <c r="N791" s="13" t="n"/>
      <c r="O791" s="13" t="n"/>
    </row>
    <row r="792">
      <c r="A792" s="13" t="n"/>
      <c r="B792" s="14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9" t="n"/>
      <c r="M792" s="19" t="n"/>
      <c r="N792" s="13" t="n"/>
      <c r="O792" s="13" t="n"/>
    </row>
    <row r="793">
      <c r="A793" s="13" t="n"/>
      <c r="B793" s="14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9" t="n"/>
      <c r="M793" s="19" t="n"/>
      <c r="N793" s="13" t="n"/>
      <c r="O793" s="13" t="n"/>
    </row>
    <row r="794">
      <c r="A794" s="13" t="n"/>
      <c r="B794" s="14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9" t="n"/>
      <c r="M794" s="19" t="n"/>
      <c r="N794" s="13" t="n"/>
      <c r="O794" s="13" t="n"/>
    </row>
    <row r="795">
      <c r="A795" s="13" t="n"/>
      <c r="B795" s="14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9" t="n"/>
      <c r="M795" s="19" t="n"/>
      <c r="N795" s="13" t="n"/>
      <c r="O795" s="13" t="n"/>
    </row>
    <row r="796">
      <c r="A796" s="13" t="n"/>
      <c r="B796" s="14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9" t="n"/>
      <c r="M796" s="19" t="n"/>
      <c r="N796" s="13" t="n"/>
      <c r="O796" s="13" t="n"/>
    </row>
    <row r="797">
      <c r="A797" s="13" t="n"/>
      <c r="B797" s="14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9" t="n"/>
      <c r="M797" s="19" t="n"/>
      <c r="N797" s="13" t="n"/>
      <c r="O797" s="13" t="n"/>
    </row>
    <row r="798">
      <c r="A798" s="13" t="n"/>
      <c r="B798" s="14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9" t="n"/>
      <c r="M798" s="19" t="n"/>
      <c r="N798" s="13" t="n"/>
      <c r="O798" s="13" t="n"/>
    </row>
    <row r="799">
      <c r="A799" s="13" t="n"/>
      <c r="B799" s="14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9" t="n"/>
      <c r="M799" s="19" t="n"/>
      <c r="N799" s="13" t="n"/>
      <c r="O799" s="13" t="n"/>
    </row>
    <row r="800">
      <c r="A800" s="13" t="n"/>
      <c r="B800" s="14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9" t="n"/>
      <c r="M800" s="19" t="n"/>
      <c r="N800" s="13" t="n"/>
      <c r="O800" s="13" t="n"/>
    </row>
    <row r="801">
      <c r="A801" s="13" t="n"/>
      <c r="B801" s="14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9" t="n"/>
      <c r="M801" s="19" t="n"/>
      <c r="N801" s="13" t="n"/>
      <c r="O801" s="13" t="n"/>
    </row>
    <row r="803">
      <c r="A803" s="20" t="inlineStr">
        <is>
          <t>アーチファクトの定義（ASTM F2119）：試料なしの参照画像との画素値の差が30%を超える領域。ImageJ で閾値処理して面積・最大径を計測。</t>
        </is>
      </c>
    </row>
  </sheetData>
  <dataValidations count="5">
    <dataValidation sqref="C2:C801" showDropDown="0" showInputMessage="0" showErrorMessage="0" allowBlank="1" errorTitle="入力エラー" error="リストから選んでください" type="list">
      <formula1>"1.5T,3T"</formula1>
    </dataValidation>
    <dataValidation sqref="D2:D801" showDropDown="0" showInputMessage="0" showErrorMessage="0" allowBlank="1" errorTitle="入力エラー" error="リストから選んでください" type="list">
      <formula1>"SE,TSE,GRE,EPI,脂肪抑制"</formula1>
    </dataValidation>
    <dataValidation sqref="G2:G801" showDropDown="0" showInputMessage="0" showErrorMessage="0" allowBlank="1" errorTitle="入力エラー" error="リストから選んでください" type="list">
      <formula1>"A-P,R-L,S-I"</formula1>
    </dataValidation>
    <dataValidation sqref="I2:I801" showDropDown="0" showInputMessage="0" showErrorMessage="0" allowBlank="1" errorTitle="入力エラー" error="リストから選んでください" type="list">
      <formula1>"0,45,90"</formula1>
    </dataValidation>
    <dataValidation sqref="J2:J801" showDropDown="0" showInputMessage="0" showErrorMessage="0" allowBlank="1" type="list">
      <formula1>='01_試料マスタ'!$A$2:$A$121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15" customWidth="1" min="3" max="3"/>
    <col width="9" customWidth="1" min="4" max="4"/>
    <col width="7" customWidth="1" min="5" max="5"/>
    <col width="15" customWidth="1" min="6" max="6"/>
    <col width="9" customWidth="1" min="7" max="7"/>
  </cols>
  <sheetData>
    <row r="1">
      <c r="A1" s="21" t="inlineStr">
        <is>
          <t>アーチファクトの集計（04_アーチファクト_記録 から自動計算。入力不要）</t>
        </is>
      </c>
    </row>
    <row r="3">
      <c r="A3" s="3" t="inlineStr">
        <is>
          <t>① シーケンス別</t>
        </is>
      </c>
      <c r="D3" s="20" t="inlineStr">
        <is>
          <t>条件：距離 0 cm・配置角度 0°</t>
        </is>
      </c>
    </row>
    <row r="4">
      <c r="B4" s="22" t="inlineStr">
        <is>
          <t>1.5T</t>
        </is>
      </c>
      <c r="E4" s="22" t="inlineStr">
        <is>
          <t>3T</t>
        </is>
      </c>
    </row>
    <row r="5">
      <c r="A5" s="9" t="inlineStr">
        <is>
          <t>シーケンス</t>
        </is>
      </c>
      <c r="B5" s="9" t="inlineStr">
        <is>
          <t>n</t>
        </is>
      </c>
      <c r="C5" s="9" t="inlineStr">
        <is>
          <t>平均面積 (mm2)</t>
        </is>
      </c>
      <c r="D5" s="9" t="inlineStr">
        <is>
          <t>SD</t>
        </is>
      </c>
      <c r="E5" s="9" t="inlineStr">
        <is>
          <t>n</t>
        </is>
      </c>
      <c r="F5" s="9" t="inlineStr">
        <is>
          <t>平均面積 (mm2)</t>
        </is>
      </c>
      <c r="G5" s="9" t="inlineStr">
        <is>
          <t>SD</t>
        </is>
      </c>
    </row>
    <row r="6">
      <c r="A6" s="25" t="inlineStr">
        <is>
          <t>SE</t>
        </is>
      </c>
      <c r="B6" s="18">
        <f>COUNTIFS('04_アーチファクト_記録'!$C$2:$C$801,"1.5T",'04_アーチファクト_記録'!$D$2:$D$801,$A6,'04_アーチファクト_記録'!$H$2:$H$801,0,'04_アーチファクト_記録'!$I$2:$I$801,0,'04_アーチファクト_記録'!$L$2:$L$801,"&gt;=0")</f>
        <v/>
      </c>
      <c r="C6" s="26">
        <f>IFERROR(IF(B6=0,"",ROUND(AVERAGEIFS('04_アーチファクト_記録'!$L$2:$L$801,'04_アーチファクト_記録'!$C$2:$C$801,"1.5T",'04_アーチファクト_記録'!$D$2:$D$801,$A6,'04_アーチファクト_記録'!$H$2:$H$801,0,'04_アーチファクト_記録'!$I$2:$I$801,0),1)),"")</f>
        <v/>
      </c>
      <c r="D6" s="26">
        <f>IFERROR(IF(B6&lt;2,"",ROUND(SQRT(SUMPRODUCT(('04_アーチファクト_記録'!$C$2:$C$801="1.5T")*('04_アーチファクト_記録'!$D$2:$D$801=$A6)*('04_アーチファクト_記録'!$H$2:$H$801=0)*('04_アーチファクト_記録'!$I$2:$I$801=0)*('04_アーチファクト_記録'!$L$2:$L$801&lt;&gt;"")*('04_アーチファクト_記録'!$L$2:$L$801-C6)^2)/(B6-1)),1)),"")</f>
        <v/>
      </c>
      <c r="E6" s="18">
        <f>COUNTIFS('04_アーチファクト_記録'!$C$2:$C$801,"3T",'04_アーチファクト_記録'!$D$2:$D$801,$A6,'04_アーチファクト_記録'!$H$2:$H$801,0,'04_アーチファクト_記録'!$I$2:$I$801,0,'04_アーチファクト_記録'!$L$2:$L$801,"&gt;=0")</f>
        <v/>
      </c>
      <c r="F6" s="26">
        <f>IFERROR(IF(E6=0,"",ROUND(AVERAGEIFS('04_アーチファクト_記録'!$L$2:$L$801,'04_アーチファクト_記録'!$C$2:$C$801,"3T",'04_アーチファクト_記録'!$D$2:$D$801,$A6,'04_アーチファクト_記録'!$H$2:$H$801,0,'04_アーチファクト_記録'!$I$2:$I$801,0),1)),"")</f>
        <v/>
      </c>
      <c r="G6" s="26">
        <f>IFERROR(IF(E6&lt;2,"",ROUND(SQRT(SUMPRODUCT(('04_アーチファクト_記録'!$C$2:$C$801="3T")*('04_アーチファクト_記録'!$D$2:$D$801=$A6)*('04_アーチファクト_記録'!$H$2:$H$801=0)*('04_アーチファクト_記録'!$I$2:$I$801=0)*('04_アーチファクト_記録'!$L$2:$L$801&lt;&gt;"")*('04_アーチファクト_記録'!$L$2:$L$801-F6)^2)/(E6-1)),1)),"")</f>
        <v/>
      </c>
    </row>
    <row r="7">
      <c r="A7" s="25" t="inlineStr">
        <is>
          <t>TSE</t>
        </is>
      </c>
      <c r="B7" s="18">
        <f>COUNTIFS('04_アーチファクト_記録'!$C$2:$C$801,"1.5T",'04_アーチファクト_記録'!$D$2:$D$801,$A7,'04_アーチファクト_記録'!$H$2:$H$801,0,'04_アーチファクト_記録'!$I$2:$I$801,0,'04_アーチファクト_記録'!$L$2:$L$801,"&gt;=0")</f>
        <v/>
      </c>
      <c r="C7" s="26">
        <f>IFERROR(IF(B7=0,"",ROUND(AVERAGEIFS('04_アーチファクト_記録'!$L$2:$L$801,'04_アーチファクト_記録'!$C$2:$C$801,"1.5T",'04_アーチファクト_記録'!$D$2:$D$801,$A7,'04_アーチファクト_記録'!$H$2:$H$801,0,'04_アーチファクト_記録'!$I$2:$I$801,0),1)),"")</f>
        <v/>
      </c>
      <c r="D7" s="26">
        <f>IFERROR(IF(B7&lt;2,"",ROUND(SQRT(SUMPRODUCT(('04_アーチファクト_記録'!$C$2:$C$801="1.5T")*('04_アーチファクト_記録'!$D$2:$D$801=$A7)*('04_アーチファクト_記録'!$H$2:$H$801=0)*('04_アーチファクト_記録'!$I$2:$I$801=0)*('04_アーチファクト_記録'!$L$2:$L$801&lt;&gt;"")*('04_アーチファクト_記録'!$L$2:$L$801-C7)^2)/(B7-1)),1)),"")</f>
        <v/>
      </c>
      <c r="E7" s="18">
        <f>COUNTIFS('04_アーチファクト_記録'!$C$2:$C$801,"3T",'04_アーチファクト_記録'!$D$2:$D$801,$A7,'04_アーチファクト_記録'!$H$2:$H$801,0,'04_アーチファクト_記録'!$I$2:$I$801,0,'04_アーチファクト_記録'!$L$2:$L$801,"&gt;=0")</f>
        <v/>
      </c>
      <c r="F7" s="26">
        <f>IFERROR(IF(E7=0,"",ROUND(AVERAGEIFS('04_アーチファクト_記録'!$L$2:$L$801,'04_アーチファクト_記録'!$C$2:$C$801,"3T",'04_アーチファクト_記録'!$D$2:$D$801,$A7,'04_アーチファクト_記録'!$H$2:$H$801,0,'04_アーチファクト_記録'!$I$2:$I$801,0),1)),"")</f>
        <v/>
      </c>
      <c r="G7" s="26">
        <f>IFERROR(IF(E7&lt;2,"",ROUND(SQRT(SUMPRODUCT(('04_アーチファクト_記録'!$C$2:$C$801="3T")*('04_アーチファクト_記録'!$D$2:$D$801=$A7)*('04_アーチファクト_記録'!$H$2:$H$801=0)*('04_アーチファクト_記録'!$I$2:$I$801=0)*('04_アーチファクト_記録'!$L$2:$L$801&lt;&gt;"")*('04_アーチファクト_記録'!$L$2:$L$801-F7)^2)/(E7-1)),1)),"")</f>
        <v/>
      </c>
    </row>
    <row r="8">
      <c r="A8" s="25" t="inlineStr">
        <is>
          <t>GRE</t>
        </is>
      </c>
      <c r="B8" s="18">
        <f>COUNTIFS('04_アーチファクト_記録'!$C$2:$C$801,"1.5T",'04_アーチファクト_記録'!$D$2:$D$801,$A8,'04_アーチファクト_記録'!$H$2:$H$801,0,'04_アーチファクト_記録'!$I$2:$I$801,0,'04_アーチファクト_記録'!$L$2:$L$801,"&gt;=0")</f>
        <v/>
      </c>
      <c r="C8" s="26">
        <f>IFERROR(IF(B8=0,"",ROUND(AVERAGEIFS('04_アーチファクト_記録'!$L$2:$L$801,'04_アーチファクト_記録'!$C$2:$C$801,"1.5T",'04_アーチファクト_記録'!$D$2:$D$801,$A8,'04_アーチファクト_記録'!$H$2:$H$801,0,'04_アーチファクト_記録'!$I$2:$I$801,0),1)),"")</f>
        <v/>
      </c>
      <c r="D8" s="26">
        <f>IFERROR(IF(B8&lt;2,"",ROUND(SQRT(SUMPRODUCT(('04_アーチファクト_記録'!$C$2:$C$801="1.5T")*('04_アーチファクト_記録'!$D$2:$D$801=$A8)*('04_アーチファクト_記録'!$H$2:$H$801=0)*('04_アーチファクト_記録'!$I$2:$I$801=0)*('04_アーチファクト_記録'!$L$2:$L$801&lt;&gt;"")*('04_アーチファクト_記録'!$L$2:$L$801-C8)^2)/(B8-1)),1)),"")</f>
        <v/>
      </c>
      <c r="E8" s="18">
        <f>COUNTIFS('04_アーチファクト_記録'!$C$2:$C$801,"3T",'04_アーチファクト_記録'!$D$2:$D$801,$A8,'04_アーチファクト_記録'!$H$2:$H$801,0,'04_アーチファクト_記録'!$I$2:$I$801,0,'04_アーチファクト_記録'!$L$2:$L$801,"&gt;=0")</f>
        <v/>
      </c>
      <c r="F8" s="26">
        <f>IFERROR(IF(E8=0,"",ROUND(AVERAGEIFS('04_アーチファクト_記録'!$L$2:$L$801,'04_アーチファクト_記録'!$C$2:$C$801,"3T",'04_アーチファクト_記録'!$D$2:$D$801,$A8,'04_アーチファクト_記録'!$H$2:$H$801,0,'04_アーチファクト_記録'!$I$2:$I$801,0),1)),"")</f>
        <v/>
      </c>
      <c r="G8" s="26">
        <f>IFERROR(IF(E8&lt;2,"",ROUND(SQRT(SUMPRODUCT(('04_アーチファクト_記録'!$C$2:$C$801="3T")*('04_アーチファクト_記録'!$D$2:$D$801=$A8)*('04_アーチファクト_記録'!$H$2:$H$801=0)*('04_アーチファクト_記録'!$I$2:$I$801=0)*('04_アーチファクト_記録'!$L$2:$L$801&lt;&gt;"")*('04_アーチファクト_記録'!$L$2:$L$801-F8)^2)/(E8-1)),1)),"")</f>
        <v/>
      </c>
    </row>
    <row r="9">
      <c r="A9" s="25" t="inlineStr">
        <is>
          <t>EPI</t>
        </is>
      </c>
      <c r="B9" s="18">
        <f>COUNTIFS('04_アーチファクト_記録'!$C$2:$C$801,"1.5T",'04_アーチファクト_記録'!$D$2:$D$801,$A9,'04_アーチファクト_記録'!$H$2:$H$801,0,'04_アーチファクト_記録'!$I$2:$I$801,0,'04_アーチファクト_記録'!$L$2:$L$801,"&gt;=0")</f>
        <v/>
      </c>
      <c r="C9" s="26">
        <f>IFERROR(IF(B9=0,"",ROUND(AVERAGEIFS('04_アーチファクト_記録'!$L$2:$L$801,'04_アーチファクト_記録'!$C$2:$C$801,"1.5T",'04_アーチファクト_記録'!$D$2:$D$801,$A9,'04_アーチファクト_記録'!$H$2:$H$801,0,'04_アーチファクト_記録'!$I$2:$I$801,0),1)),"")</f>
        <v/>
      </c>
      <c r="D9" s="26">
        <f>IFERROR(IF(B9&lt;2,"",ROUND(SQRT(SUMPRODUCT(('04_アーチファクト_記録'!$C$2:$C$801="1.5T")*('04_アーチファクト_記録'!$D$2:$D$801=$A9)*('04_アーチファクト_記録'!$H$2:$H$801=0)*('04_アーチファクト_記録'!$I$2:$I$801=0)*('04_アーチファクト_記録'!$L$2:$L$801&lt;&gt;"")*('04_アーチファクト_記録'!$L$2:$L$801-C9)^2)/(B9-1)),1)),"")</f>
        <v/>
      </c>
      <c r="E9" s="18">
        <f>COUNTIFS('04_アーチファクト_記録'!$C$2:$C$801,"3T",'04_アーチファクト_記録'!$D$2:$D$801,$A9,'04_アーチファクト_記録'!$H$2:$H$801,0,'04_アーチファクト_記録'!$I$2:$I$801,0,'04_アーチファクト_記録'!$L$2:$L$801,"&gt;=0")</f>
        <v/>
      </c>
      <c r="F9" s="26">
        <f>IFERROR(IF(E9=0,"",ROUND(AVERAGEIFS('04_アーチファクト_記録'!$L$2:$L$801,'04_アーチファクト_記録'!$C$2:$C$801,"3T",'04_アーチファクト_記録'!$D$2:$D$801,$A9,'04_アーチファクト_記録'!$H$2:$H$801,0,'04_アーチファクト_記録'!$I$2:$I$801,0),1)),"")</f>
        <v/>
      </c>
      <c r="G9" s="26">
        <f>IFERROR(IF(E9&lt;2,"",ROUND(SQRT(SUMPRODUCT(('04_アーチファクト_記録'!$C$2:$C$801="3T")*('04_アーチファクト_記録'!$D$2:$D$801=$A9)*('04_アーチファクト_記録'!$H$2:$H$801=0)*('04_アーチファクト_記録'!$I$2:$I$801=0)*('04_アーチファクト_記録'!$L$2:$L$801&lt;&gt;"")*('04_アーチファクト_記録'!$L$2:$L$801-F9)^2)/(E9-1)),1)),"")</f>
        <v/>
      </c>
    </row>
    <row r="10">
      <c r="A10" s="25" t="inlineStr">
        <is>
          <t>脂肪抑制</t>
        </is>
      </c>
      <c r="B10" s="18">
        <f>COUNTIFS('04_アーチファクト_記録'!$C$2:$C$801,"1.5T",'04_アーチファクト_記録'!$D$2:$D$801,$A10,'04_アーチファクト_記録'!$H$2:$H$801,0,'04_アーチファクト_記録'!$I$2:$I$801,0,'04_アーチファクト_記録'!$L$2:$L$801,"&gt;=0")</f>
        <v/>
      </c>
      <c r="C10" s="26">
        <f>IFERROR(IF(B10=0,"",ROUND(AVERAGEIFS('04_アーチファクト_記録'!$L$2:$L$801,'04_アーチファクト_記録'!$C$2:$C$801,"1.5T",'04_アーチファクト_記録'!$D$2:$D$801,$A10,'04_アーチファクト_記録'!$H$2:$H$801,0,'04_アーチファクト_記録'!$I$2:$I$801,0),1)),"")</f>
        <v/>
      </c>
      <c r="D10" s="26">
        <f>IFERROR(IF(B10&lt;2,"",ROUND(SQRT(SUMPRODUCT(('04_アーチファクト_記録'!$C$2:$C$801="1.5T")*('04_アーチファクト_記録'!$D$2:$D$801=$A10)*('04_アーチファクト_記録'!$H$2:$H$801=0)*('04_アーチファクト_記録'!$I$2:$I$801=0)*('04_アーチファクト_記録'!$L$2:$L$801&lt;&gt;"")*('04_アーチファクト_記録'!$L$2:$L$801-C10)^2)/(B10-1)),1)),"")</f>
        <v/>
      </c>
      <c r="E10" s="18">
        <f>COUNTIFS('04_アーチファクト_記録'!$C$2:$C$801,"3T",'04_アーチファクト_記録'!$D$2:$D$801,$A10,'04_アーチファクト_記録'!$H$2:$H$801,0,'04_アーチファクト_記録'!$I$2:$I$801,0,'04_アーチファクト_記録'!$L$2:$L$801,"&gt;=0")</f>
        <v/>
      </c>
      <c r="F10" s="26">
        <f>IFERROR(IF(E10=0,"",ROUND(AVERAGEIFS('04_アーチファクト_記録'!$L$2:$L$801,'04_アーチファクト_記録'!$C$2:$C$801,"3T",'04_アーチファクト_記録'!$D$2:$D$801,$A10,'04_アーチファクト_記録'!$H$2:$H$801,0,'04_アーチファクト_記録'!$I$2:$I$801,0),1)),"")</f>
        <v/>
      </c>
      <c r="G10" s="26">
        <f>IFERROR(IF(E10&lt;2,"",ROUND(SQRT(SUMPRODUCT(('04_アーチファクト_記録'!$C$2:$C$801="3T")*('04_アーチファクト_記録'!$D$2:$D$801=$A10)*('04_アーチファクト_記録'!$H$2:$H$801=0)*('04_アーチファクト_記録'!$I$2:$I$801=0)*('04_アーチファクト_記録'!$L$2:$L$801&lt;&gt;"")*('04_アーチファクト_記録'!$L$2:$L$801-F10)^2)/(E10-1)),1)),"")</f>
        <v/>
      </c>
    </row>
    <row r="13">
      <c r="A13" s="3" t="inlineStr">
        <is>
          <t>② TE別（GRE・距離 0 cm）</t>
        </is>
      </c>
      <c r="D13" s="20" t="inlineStr">
        <is>
          <t>TEの水準は実際の撮影条件に合わせて書き換えてください</t>
        </is>
      </c>
    </row>
    <row r="14">
      <c r="B14" s="22" t="inlineStr">
        <is>
          <t>1.5T</t>
        </is>
      </c>
      <c r="E14" s="22" t="inlineStr">
        <is>
          <t>3T</t>
        </is>
      </c>
    </row>
    <row r="15">
      <c r="A15" s="9" t="inlineStr">
        <is>
          <t>TE (ms)</t>
        </is>
      </c>
      <c r="B15" s="9" t="inlineStr">
        <is>
          <t>n</t>
        </is>
      </c>
      <c r="C15" s="9" t="inlineStr">
        <is>
          <t>平均面積 (mm2)</t>
        </is>
      </c>
      <c r="D15" s="9" t="inlineStr">
        <is>
          <t>SD</t>
        </is>
      </c>
      <c r="E15" s="9" t="inlineStr">
        <is>
          <t>n</t>
        </is>
      </c>
      <c r="F15" s="9" t="inlineStr">
        <is>
          <t>平均面積 (mm2)</t>
        </is>
      </c>
      <c r="G15" s="9" t="inlineStr">
        <is>
          <t>SD</t>
        </is>
      </c>
    </row>
    <row r="16">
      <c r="A16" s="25" t="n">
        <v>5</v>
      </c>
      <c r="B16" s="18">
        <f>COUNTIFS('04_アーチファクト_記録'!$C$2:$C$801,"1.5T",'04_アーチファクト_記録'!$D$2:$D$801,"GRE",'04_アーチファクト_記録'!$E$2:$E$801,$A16,'04_アーチファクト_記録'!$H$2:$H$801,0,'04_アーチファクト_記録'!$L$2:$L$801,"&gt;=0")</f>
        <v/>
      </c>
      <c r="C16" s="26">
        <f>IFERROR(IF(B16=0,"",ROUND(AVERAGEIFS('04_アーチファクト_記録'!$L$2:$L$801,'04_アーチファクト_記録'!$C$2:$C$801,"1.5T",'04_アーチファクト_記録'!$D$2:$D$801,"GRE",'04_アーチファクト_記録'!$E$2:$E$801,$A16,'04_アーチファクト_記録'!$H$2:$H$801,0),1)),"")</f>
        <v/>
      </c>
      <c r="D16" s="26">
        <f>IFERROR(IF(B16&lt;2,"",ROUND(SQRT(SUMPRODUCT(('04_アーチファクト_記録'!$C$2:$C$801="1.5T")*('04_アーチファクト_記録'!$D$2:$D$801="GRE")*('04_アーチファクト_記録'!$E$2:$E$801=$A16)*('04_アーチファクト_記録'!$H$2:$H$801=0)*('04_アーチファクト_記録'!$L$2:$L$801&lt;&gt;"")*('04_アーチファクト_記録'!$L$2:$L$801-C16)^2)/(B16-1)),1)),"")</f>
        <v/>
      </c>
      <c r="E16" s="18">
        <f>COUNTIFS('04_アーチファクト_記録'!$C$2:$C$801,"3T",'04_アーチファクト_記録'!$D$2:$D$801,"GRE",'04_アーチファクト_記録'!$E$2:$E$801,$A16,'04_アーチファクト_記録'!$H$2:$H$801,0,'04_アーチファクト_記録'!$L$2:$L$801,"&gt;=0")</f>
        <v/>
      </c>
      <c r="F16" s="26">
        <f>IFERROR(IF(E16=0,"",ROUND(AVERAGEIFS('04_アーチファクト_記録'!$L$2:$L$801,'04_アーチファクト_記録'!$C$2:$C$801,"3T",'04_アーチファクト_記録'!$D$2:$D$801,"GRE",'04_アーチファクト_記録'!$E$2:$E$801,$A16,'04_アーチファクト_記録'!$H$2:$H$801,0),1)),"")</f>
        <v/>
      </c>
      <c r="G16" s="26">
        <f>IFERROR(IF(E16&lt;2,"",ROUND(SQRT(SUMPRODUCT(('04_アーチファクト_記録'!$C$2:$C$801="3T")*('04_アーチファクト_記録'!$D$2:$D$801="GRE")*('04_アーチファクト_記録'!$E$2:$E$801=$A16)*('04_アーチファクト_記録'!$H$2:$H$801=0)*('04_アーチファクト_記録'!$L$2:$L$801&lt;&gt;"")*('04_アーチファクト_記録'!$L$2:$L$801-F16)^2)/(E16-1)),1)),"")</f>
        <v/>
      </c>
    </row>
    <row r="17">
      <c r="A17" s="25" t="n">
        <v>10</v>
      </c>
      <c r="B17" s="18">
        <f>COUNTIFS('04_アーチファクト_記録'!$C$2:$C$801,"1.5T",'04_アーチファクト_記録'!$D$2:$D$801,"GRE",'04_アーチファクト_記録'!$E$2:$E$801,$A17,'04_アーチファクト_記録'!$H$2:$H$801,0,'04_アーチファクト_記録'!$L$2:$L$801,"&gt;=0")</f>
        <v/>
      </c>
      <c r="C17" s="26">
        <f>IFERROR(IF(B17=0,"",ROUND(AVERAGEIFS('04_アーチファクト_記録'!$L$2:$L$801,'04_アーチファクト_記録'!$C$2:$C$801,"1.5T",'04_アーチファクト_記録'!$D$2:$D$801,"GRE",'04_アーチファクト_記録'!$E$2:$E$801,$A17,'04_アーチファクト_記録'!$H$2:$H$801,0),1)),"")</f>
        <v/>
      </c>
      <c r="D17" s="26">
        <f>IFERROR(IF(B17&lt;2,"",ROUND(SQRT(SUMPRODUCT(('04_アーチファクト_記録'!$C$2:$C$801="1.5T")*('04_アーチファクト_記録'!$D$2:$D$801="GRE")*('04_アーチファクト_記録'!$E$2:$E$801=$A17)*('04_アーチファクト_記録'!$H$2:$H$801=0)*('04_アーチファクト_記録'!$L$2:$L$801&lt;&gt;"")*('04_アーチファクト_記録'!$L$2:$L$801-C17)^2)/(B17-1)),1)),"")</f>
        <v/>
      </c>
      <c r="E17" s="18">
        <f>COUNTIFS('04_アーチファクト_記録'!$C$2:$C$801,"3T",'04_アーチファクト_記録'!$D$2:$D$801,"GRE",'04_アーチファクト_記録'!$E$2:$E$801,$A17,'04_アーチファクト_記録'!$H$2:$H$801,0,'04_アーチファクト_記録'!$L$2:$L$801,"&gt;=0")</f>
        <v/>
      </c>
      <c r="F17" s="26">
        <f>IFERROR(IF(E17=0,"",ROUND(AVERAGEIFS('04_アーチファクト_記録'!$L$2:$L$801,'04_アーチファクト_記録'!$C$2:$C$801,"3T",'04_アーチファクト_記録'!$D$2:$D$801,"GRE",'04_アーチファクト_記録'!$E$2:$E$801,$A17,'04_アーチファクト_記録'!$H$2:$H$801,0),1)),"")</f>
        <v/>
      </c>
      <c r="G17" s="26">
        <f>IFERROR(IF(E17&lt;2,"",ROUND(SQRT(SUMPRODUCT(('04_アーチファクト_記録'!$C$2:$C$801="3T")*('04_アーチファクト_記録'!$D$2:$D$801="GRE")*('04_アーチファクト_記録'!$E$2:$E$801=$A17)*('04_アーチファクト_記録'!$H$2:$H$801=0)*('04_アーチファクト_記録'!$L$2:$L$801&lt;&gt;"")*('04_アーチファクト_記録'!$L$2:$L$801-F17)^2)/(E17-1)),1)),"")</f>
        <v/>
      </c>
    </row>
    <row r="18">
      <c r="A18" s="25" t="n">
        <v>15</v>
      </c>
      <c r="B18" s="18">
        <f>COUNTIFS('04_アーチファクト_記録'!$C$2:$C$801,"1.5T",'04_アーチファクト_記録'!$D$2:$D$801,"GRE",'04_アーチファクト_記録'!$E$2:$E$801,$A18,'04_アーチファクト_記録'!$H$2:$H$801,0,'04_アーチファクト_記録'!$L$2:$L$801,"&gt;=0")</f>
        <v/>
      </c>
      <c r="C18" s="26">
        <f>IFERROR(IF(B18=0,"",ROUND(AVERAGEIFS('04_アーチファクト_記録'!$L$2:$L$801,'04_アーチファクト_記録'!$C$2:$C$801,"1.5T",'04_アーチファクト_記録'!$D$2:$D$801,"GRE",'04_アーチファクト_記録'!$E$2:$E$801,$A18,'04_アーチファクト_記録'!$H$2:$H$801,0),1)),"")</f>
        <v/>
      </c>
      <c r="D18" s="26">
        <f>IFERROR(IF(B18&lt;2,"",ROUND(SQRT(SUMPRODUCT(('04_アーチファクト_記録'!$C$2:$C$801="1.5T")*('04_アーチファクト_記録'!$D$2:$D$801="GRE")*('04_アーチファクト_記録'!$E$2:$E$801=$A18)*('04_アーチファクト_記録'!$H$2:$H$801=0)*('04_アーチファクト_記録'!$L$2:$L$801&lt;&gt;"")*('04_アーチファクト_記録'!$L$2:$L$801-C18)^2)/(B18-1)),1)),"")</f>
        <v/>
      </c>
      <c r="E18" s="18">
        <f>COUNTIFS('04_アーチファクト_記録'!$C$2:$C$801,"3T",'04_アーチファクト_記録'!$D$2:$D$801,"GRE",'04_アーチファクト_記録'!$E$2:$E$801,$A18,'04_アーチファクト_記録'!$H$2:$H$801,0,'04_アーチファクト_記録'!$L$2:$L$801,"&gt;=0")</f>
        <v/>
      </c>
      <c r="F18" s="26">
        <f>IFERROR(IF(E18=0,"",ROUND(AVERAGEIFS('04_アーチファクト_記録'!$L$2:$L$801,'04_アーチファクト_記録'!$C$2:$C$801,"3T",'04_アーチファクト_記録'!$D$2:$D$801,"GRE",'04_アーチファクト_記録'!$E$2:$E$801,$A18,'04_アーチファクト_記録'!$H$2:$H$801,0),1)),"")</f>
        <v/>
      </c>
      <c r="G18" s="26">
        <f>IFERROR(IF(E18&lt;2,"",ROUND(SQRT(SUMPRODUCT(('04_アーチファクト_記録'!$C$2:$C$801="3T")*('04_アーチファクト_記録'!$D$2:$D$801="GRE")*('04_アーチファクト_記録'!$E$2:$E$801=$A18)*('04_アーチファクト_記録'!$H$2:$H$801=0)*('04_アーチファクト_記録'!$L$2:$L$801&lt;&gt;"")*('04_アーチファクト_記録'!$L$2:$L$801-F18)^2)/(E18-1)),1)),"")</f>
        <v/>
      </c>
    </row>
    <row r="19">
      <c r="A19" s="25" t="n">
        <v>20</v>
      </c>
      <c r="B19" s="18">
        <f>COUNTIFS('04_アーチファクト_記録'!$C$2:$C$801,"1.5T",'04_アーチファクト_記録'!$D$2:$D$801,"GRE",'04_アーチファクト_記録'!$E$2:$E$801,$A19,'04_アーチファクト_記録'!$H$2:$H$801,0,'04_アーチファクト_記録'!$L$2:$L$801,"&gt;=0")</f>
        <v/>
      </c>
      <c r="C19" s="26">
        <f>IFERROR(IF(B19=0,"",ROUND(AVERAGEIFS('04_アーチファクト_記録'!$L$2:$L$801,'04_アーチファクト_記録'!$C$2:$C$801,"1.5T",'04_アーチファクト_記録'!$D$2:$D$801,"GRE",'04_アーチファクト_記録'!$E$2:$E$801,$A19,'04_アーチファクト_記録'!$H$2:$H$801,0),1)),"")</f>
        <v/>
      </c>
      <c r="D19" s="26">
        <f>IFERROR(IF(B19&lt;2,"",ROUND(SQRT(SUMPRODUCT(('04_アーチファクト_記録'!$C$2:$C$801="1.5T")*('04_アーチファクト_記録'!$D$2:$D$801="GRE")*('04_アーチファクト_記録'!$E$2:$E$801=$A19)*('04_アーチファクト_記録'!$H$2:$H$801=0)*('04_アーチファクト_記録'!$L$2:$L$801&lt;&gt;"")*('04_アーチファクト_記録'!$L$2:$L$801-C19)^2)/(B19-1)),1)),"")</f>
        <v/>
      </c>
      <c r="E19" s="18">
        <f>COUNTIFS('04_アーチファクト_記録'!$C$2:$C$801,"3T",'04_アーチファクト_記録'!$D$2:$D$801,"GRE",'04_アーチファクト_記録'!$E$2:$E$801,$A19,'04_アーチファクト_記録'!$H$2:$H$801,0,'04_アーチファクト_記録'!$L$2:$L$801,"&gt;=0")</f>
        <v/>
      </c>
      <c r="F19" s="26">
        <f>IFERROR(IF(E19=0,"",ROUND(AVERAGEIFS('04_アーチファクト_記録'!$L$2:$L$801,'04_アーチファクト_記録'!$C$2:$C$801,"3T",'04_アーチファクト_記録'!$D$2:$D$801,"GRE",'04_アーチファクト_記録'!$E$2:$E$801,$A19,'04_アーチファクト_記録'!$H$2:$H$801,0),1)),"")</f>
        <v/>
      </c>
      <c r="G19" s="26">
        <f>IFERROR(IF(E19&lt;2,"",ROUND(SQRT(SUMPRODUCT(('04_アーチファクト_記録'!$C$2:$C$801="3T")*('04_アーチファクト_記録'!$D$2:$D$801="GRE")*('04_アーチファクト_記録'!$E$2:$E$801=$A19)*('04_アーチファクト_記録'!$H$2:$H$801=0)*('04_アーチファクト_記録'!$L$2:$L$801&lt;&gt;"")*('04_アーチファクト_記録'!$L$2:$L$801-F19)^2)/(E19-1)),1)),"")</f>
        <v/>
      </c>
    </row>
    <row r="20">
      <c r="A20" s="25" t="n">
        <v>30</v>
      </c>
      <c r="B20" s="18">
        <f>COUNTIFS('04_アーチファクト_記録'!$C$2:$C$801,"1.5T",'04_アーチファクト_記録'!$D$2:$D$801,"GRE",'04_アーチファクト_記録'!$E$2:$E$801,$A20,'04_アーチファクト_記録'!$H$2:$H$801,0,'04_アーチファクト_記録'!$L$2:$L$801,"&gt;=0")</f>
        <v/>
      </c>
      <c r="C20" s="26">
        <f>IFERROR(IF(B20=0,"",ROUND(AVERAGEIFS('04_アーチファクト_記録'!$L$2:$L$801,'04_アーチファクト_記録'!$C$2:$C$801,"1.5T",'04_アーチファクト_記録'!$D$2:$D$801,"GRE",'04_アーチファクト_記録'!$E$2:$E$801,$A20,'04_アーチファクト_記録'!$H$2:$H$801,0),1)),"")</f>
        <v/>
      </c>
      <c r="D20" s="26">
        <f>IFERROR(IF(B20&lt;2,"",ROUND(SQRT(SUMPRODUCT(('04_アーチファクト_記録'!$C$2:$C$801="1.5T")*('04_アーチファクト_記録'!$D$2:$D$801="GRE")*('04_アーチファクト_記録'!$E$2:$E$801=$A20)*('04_アーチファクト_記録'!$H$2:$H$801=0)*('04_アーチファクト_記録'!$L$2:$L$801&lt;&gt;"")*('04_アーチファクト_記録'!$L$2:$L$801-C20)^2)/(B20-1)),1)),"")</f>
        <v/>
      </c>
      <c r="E20" s="18">
        <f>COUNTIFS('04_アーチファクト_記録'!$C$2:$C$801,"3T",'04_アーチファクト_記録'!$D$2:$D$801,"GRE",'04_アーチファクト_記録'!$E$2:$E$801,$A20,'04_アーチファクト_記録'!$H$2:$H$801,0,'04_アーチファクト_記録'!$L$2:$L$801,"&gt;=0")</f>
        <v/>
      </c>
      <c r="F20" s="26">
        <f>IFERROR(IF(E20=0,"",ROUND(AVERAGEIFS('04_アーチファクト_記録'!$L$2:$L$801,'04_アーチファクト_記録'!$C$2:$C$801,"3T",'04_アーチファクト_記録'!$D$2:$D$801,"GRE",'04_アーチファクト_記録'!$E$2:$E$801,$A20,'04_アーチファクト_記録'!$H$2:$H$801,0),1)),"")</f>
        <v/>
      </c>
      <c r="G20" s="26">
        <f>IFERROR(IF(E20&lt;2,"",ROUND(SQRT(SUMPRODUCT(('04_アーチファクト_記録'!$C$2:$C$801="3T")*('04_アーチファクト_記録'!$D$2:$D$801="GRE")*('04_アーチファクト_記録'!$E$2:$E$801=$A20)*('04_アーチファクト_記録'!$H$2:$H$801=0)*('04_アーチファクト_記録'!$L$2:$L$801&lt;&gt;"")*('04_アーチファクト_記録'!$L$2:$L$801-F20)^2)/(E20-1)),1)),"")</f>
        <v/>
      </c>
    </row>
    <row r="23">
      <c r="A23" s="3" t="inlineStr">
        <is>
          <t>③ 距離別（GRE）── 部位別運用の根拠になる表</t>
        </is>
      </c>
      <c r="D23" s="20" t="inlineStr">
        <is>
          <t>撮影部位からの距離。ここが本研究の核心</t>
        </is>
      </c>
    </row>
    <row r="24">
      <c r="B24" s="22" t="inlineStr">
        <is>
          <t>1.5T</t>
        </is>
      </c>
      <c r="E24" s="22" t="inlineStr">
        <is>
          <t>3T</t>
        </is>
      </c>
    </row>
    <row r="25">
      <c r="A25" s="9" t="inlineStr">
        <is>
          <t>距離 (cm)</t>
        </is>
      </c>
      <c r="B25" s="9" t="inlineStr">
        <is>
          <t>n</t>
        </is>
      </c>
      <c r="C25" s="9" t="inlineStr">
        <is>
          <t>平均面積 (mm2)</t>
        </is>
      </c>
      <c r="D25" s="9" t="inlineStr">
        <is>
          <t>SD</t>
        </is>
      </c>
      <c r="E25" s="9" t="inlineStr">
        <is>
          <t>n</t>
        </is>
      </c>
      <c r="F25" s="9" t="inlineStr">
        <is>
          <t>平均面積 (mm2)</t>
        </is>
      </c>
      <c r="G25" s="9" t="inlineStr">
        <is>
          <t>SD</t>
        </is>
      </c>
    </row>
    <row r="26">
      <c r="A26" s="25" t="n">
        <v>0</v>
      </c>
      <c r="B26" s="18">
        <f>COUNTIFS('04_アーチファクト_記録'!$C$2:$C$801,"1.5T",'04_アーチファクト_記録'!$D$2:$D$801,"GRE",'04_アーチファクト_記録'!$H$2:$H$801,$A26,'04_アーチファクト_記録'!$L$2:$L$801,"&gt;=0")</f>
        <v/>
      </c>
      <c r="C26" s="26">
        <f>IFERROR(IF(B26=0,"",ROUND(AVERAGEIFS('04_アーチファクト_記録'!$L$2:$L$801,'04_アーチファクト_記録'!$C$2:$C$801,"1.5T",'04_アーチファクト_記録'!$D$2:$D$801,"GRE",'04_アーチファクト_記録'!$H$2:$H$801,$A26),1)),"")</f>
        <v/>
      </c>
      <c r="D26" s="26">
        <f>IFERROR(IF(B26&lt;2,"",ROUND(SQRT(SUMPRODUCT(('04_アーチファクト_記録'!$C$2:$C$801="1.5T")*('04_アーチファクト_記録'!$D$2:$D$801="GRE")*('04_アーチファクト_記録'!$H$2:$H$801=$A26)*('04_アーチファクト_記録'!$L$2:$L$801&lt;&gt;"")*('04_アーチファクト_記録'!$L$2:$L$801-C26)^2)/(B26-1)),1)),"")</f>
        <v/>
      </c>
      <c r="E26" s="18">
        <f>COUNTIFS('04_アーチファクト_記録'!$C$2:$C$801,"3T",'04_アーチファクト_記録'!$D$2:$D$801,"GRE",'04_アーチファクト_記録'!$H$2:$H$801,$A26,'04_アーチファクト_記録'!$L$2:$L$801,"&gt;=0")</f>
        <v/>
      </c>
      <c r="F26" s="26">
        <f>IFERROR(IF(E26=0,"",ROUND(AVERAGEIFS('04_アーチファクト_記録'!$L$2:$L$801,'04_アーチファクト_記録'!$C$2:$C$801,"3T",'04_アーチファクト_記録'!$D$2:$D$801,"GRE",'04_アーチファクト_記録'!$H$2:$H$801,$A26),1)),"")</f>
        <v/>
      </c>
      <c r="G26" s="26">
        <f>IFERROR(IF(E26&lt;2,"",ROUND(SQRT(SUMPRODUCT(('04_アーチファクト_記録'!$C$2:$C$801="3T")*('04_アーチファクト_記録'!$D$2:$D$801="GRE")*('04_アーチファクト_記録'!$H$2:$H$801=$A26)*('04_アーチファクト_記録'!$L$2:$L$801&lt;&gt;"")*('04_アーチファクト_記録'!$L$2:$L$801-F26)^2)/(E26-1)),1)),"")</f>
        <v/>
      </c>
    </row>
    <row r="27">
      <c r="A27" s="25" t="n">
        <v>2</v>
      </c>
      <c r="B27" s="18">
        <f>COUNTIFS('04_アーチファクト_記録'!$C$2:$C$801,"1.5T",'04_アーチファクト_記録'!$D$2:$D$801,"GRE",'04_アーチファクト_記録'!$H$2:$H$801,$A27,'04_アーチファクト_記録'!$L$2:$L$801,"&gt;=0")</f>
        <v/>
      </c>
      <c r="C27" s="26">
        <f>IFERROR(IF(B27=0,"",ROUND(AVERAGEIFS('04_アーチファクト_記録'!$L$2:$L$801,'04_アーチファクト_記録'!$C$2:$C$801,"1.5T",'04_アーチファクト_記録'!$D$2:$D$801,"GRE",'04_アーチファクト_記録'!$H$2:$H$801,$A27),1)),"")</f>
        <v/>
      </c>
      <c r="D27" s="26">
        <f>IFERROR(IF(B27&lt;2,"",ROUND(SQRT(SUMPRODUCT(('04_アーチファクト_記録'!$C$2:$C$801="1.5T")*('04_アーチファクト_記録'!$D$2:$D$801="GRE")*('04_アーチファクト_記録'!$H$2:$H$801=$A27)*('04_アーチファクト_記録'!$L$2:$L$801&lt;&gt;"")*('04_アーチファクト_記録'!$L$2:$L$801-C27)^2)/(B27-1)),1)),"")</f>
        <v/>
      </c>
      <c r="E27" s="18">
        <f>COUNTIFS('04_アーチファクト_記録'!$C$2:$C$801,"3T",'04_アーチファクト_記録'!$D$2:$D$801,"GRE",'04_アーチファクト_記録'!$H$2:$H$801,$A27,'04_アーチファクト_記録'!$L$2:$L$801,"&gt;=0")</f>
        <v/>
      </c>
      <c r="F27" s="26">
        <f>IFERROR(IF(E27=0,"",ROUND(AVERAGEIFS('04_アーチファクト_記録'!$L$2:$L$801,'04_アーチファクト_記録'!$C$2:$C$801,"3T",'04_アーチファクト_記録'!$D$2:$D$801,"GRE",'04_アーチファクト_記録'!$H$2:$H$801,$A27),1)),"")</f>
        <v/>
      </c>
      <c r="G27" s="26">
        <f>IFERROR(IF(E27&lt;2,"",ROUND(SQRT(SUMPRODUCT(('04_アーチファクト_記録'!$C$2:$C$801="3T")*('04_アーチファクト_記録'!$D$2:$D$801="GRE")*('04_アーチファクト_記録'!$H$2:$H$801=$A27)*('04_アーチファクト_記録'!$L$2:$L$801&lt;&gt;"")*('04_アーチファクト_記録'!$L$2:$L$801-F27)^2)/(E27-1)),1)),"")</f>
        <v/>
      </c>
    </row>
    <row r="28">
      <c r="A28" s="25" t="n">
        <v>5</v>
      </c>
      <c r="B28" s="18">
        <f>COUNTIFS('04_アーチファクト_記録'!$C$2:$C$801,"1.5T",'04_アーチファクト_記録'!$D$2:$D$801,"GRE",'04_アーチファクト_記録'!$H$2:$H$801,$A28,'04_アーチファクト_記録'!$L$2:$L$801,"&gt;=0")</f>
        <v/>
      </c>
      <c r="C28" s="26">
        <f>IFERROR(IF(B28=0,"",ROUND(AVERAGEIFS('04_アーチファクト_記録'!$L$2:$L$801,'04_アーチファクト_記録'!$C$2:$C$801,"1.5T",'04_アーチファクト_記録'!$D$2:$D$801,"GRE",'04_アーチファクト_記録'!$H$2:$H$801,$A28),1)),"")</f>
        <v/>
      </c>
      <c r="D28" s="26">
        <f>IFERROR(IF(B28&lt;2,"",ROUND(SQRT(SUMPRODUCT(('04_アーチファクト_記録'!$C$2:$C$801="1.5T")*('04_アーチファクト_記録'!$D$2:$D$801="GRE")*('04_アーチファクト_記録'!$H$2:$H$801=$A28)*('04_アーチファクト_記録'!$L$2:$L$801&lt;&gt;"")*('04_アーチファクト_記録'!$L$2:$L$801-C28)^2)/(B28-1)),1)),"")</f>
        <v/>
      </c>
      <c r="E28" s="18">
        <f>COUNTIFS('04_アーチファクト_記録'!$C$2:$C$801,"3T",'04_アーチファクト_記録'!$D$2:$D$801,"GRE",'04_アーチファクト_記録'!$H$2:$H$801,$A28,'04_アーチファクト_記録'!$L$2:$L$801,"&gt;=0")</f>
        <v/>
      </c>
      <c r="F28" s="26">
        <f>IFERROR(IF(E28=0,"",ROUND(AVERAGEIFS('04_アーチファクト_記録'!$L$2:$L$801,'04_アーチファクト_記録'!$C$2:$C$801,"3T",'04_アーチファクト_記録'!$D$2:$D$801,"GRE",'04_アーチファクト_記録'!$H$2:$H$801,$A28),1)),"")</f>
        <v/>
      </c>
      <c r="G28" s="26">
        <f>IFERROR(IF(E28&lt;2,"",ROUND(SQRT(SUMPRODUCT(('04_アーチファクト_記録'!$C$2:$C$801="3T")*('04_アーチファクト_記録'!$D$2:$D$801="GRE")*('04_アーチファクト_記録'!$H$2:$H$801=$A28)*('04_アーチファクト_記録'!$L$2:$L$801&lt;&gt;"")*('04_アーチファクト_記録'!$L$2:$L$801-F28)^2)/(E28-1)),1)),"")</f>
        <v/>
      </c>
    </row>
    <row r="29">
      <c r="A29" s="25" t="n">
        <v>10</v>
      </c>
      <c r="B29" s="18">
        <f>COUNTIFS('04_アーチファクト_記録'!$C$2:$C$801,"1.5T",'04_アーチファクト_記録'!$D$2:$D$801,"GRE",'04_アーチファクト_記録'!$H$2:$H$801,$A29,'04_アーチファクト_記録'!$L$2:$L$801,"&gt;=0")</f>
        <v/>
      </c>
      <c r="C29" s="26">
        <f>IFERROR(IF(B29=0,"",ROUND(AVERAGEIFS('04_アーチファクト_記録'!$L$2:$L$801,'04_アーチファクト_記録'!$C$2:$C$801,"1.5T",'04_アーチファクト_記録'!$D$2:$D$801,"GRE",'04_アーチファクト_記録'!$H$2:$H$801,$A29),1)),"")</f>
        <v/>
      </c>
      <c r="D29" s="26">
        <f>IFERROR(IF(B29&lt;2,"",ROUND(SQRT(SUMPRODUCT(('04_アーチファクト_記録'!$C$2:$C$801="1.5T")*('04_アーチファクト_記録'!$D$2:$D$801="GRE")*('04_アーチファクト_記録'!$H$2:$H$801=$A29)*('04_アーチファクト_記録'!$L$2:$L$801&lt;&gt;"")*('04_アーチファクト_記録'!$L$2:$L$801-C29)^2)/(B29-1)),1)),"")</f>
        <v/>
      </c>
      <c r="E29" s="18">
        <f>COUNTIFS('04_アーチファクト_記録'!$C$2:$C$801,"3T",'04_アーチファクト_記録'!$D$2:$D$801,"GRE",'04_アーチファクト_記録'!$H$2:$H$801,$A29,'04_アーチファクト_記録'!$L$2:$L$801,"&gt;=0")</f>
        <v/>
      </c>
      <c r="F29" s="26">
        <f>IFERROR(IF(E29=0,"",ROUND(AVERAGEIFS('04_アーチファクト_記録'!$L$2:$L$801,'04_アーチファクト_記録'!$C$2:$C$801,"3T",'04_アーチファクト_記録'!$D$2:$D$801,"GRE",'04_アーチファクト_記録'!$H$2:$H$801,$A29),1)),"")</f>
        <v/>
      </c>
      <c r="G29" s="26">
        <f>IFERROR(IF(E29&lt;2,"",ROUND(SQRT(SUMPRODUCT(('04_アーチファクト_記録'!$C$2:$C$801="3T")*('04_アーチファクト_記録'!$D$2:$D$801="GRE")*('04_アーチファクト_記録'!$H$2:$H$801=$A29)*('04_アーチファクト_記録'!$L$2:$L$801&lt;&gt;"")*('04_アーチファクト_記録'!$L$2:$L$801-F29)^2)/(E29-1)),1)),"")</f>
        <v/>
      </c>
    </row>
    <row r="30">
      <c r="A30" s="25" t="n">
        <v>20</v>
      </c>
      <c r="B30" s="18">
        <f>COUNTIFS('04_アーチファクト_記録'!$C$2:$C$801,"1.5T",'04_アーチファクト_記録'!$D$2:$D$801,"GRE",'04_アーチファクト_記録'!$H$2:$H$801,$A30,'04_アーチファクト_記録'!$L$2:$L$801,"&gt;=0")</f>
        <v/>
      </c>
      <c r="C30" s="26">
        <f>IFERROR(IF(B30=0,"",ROUND(AVERAGEIFS('04_アーチファクト_記録'!$L$2:$L$801,'04_アーチファクト_記録'!$C$2:$C$801,"1.5T",'04_アーチファクト_記録'!$D$2:$D$801,"GRE",'04_アーチファクト_記録'!$H$2:$H$801,$A30),1)),"")</f>
        <v/>
      </c>
      <c r="D30" s="26">
        <f>IFERROR(IF(B30&lt;2,"",ROUND(SQRT(SUMPRODUCT(('04_アーチファクト_記録'!$C$2:$C$801="1.5T")*('04_アーチファクト_記録'!$D$2:$D$801="GRE")*('04_アーチファクト_記録'!$H$2:$H$801=$A30)*('04_アーチファクト_記録'!$L$2:$L$801&lt;&gt;"")*('04_アーチファクト_記録'!$L$2:$L$801-C30)^2)/(B30-1)),1)),"")</f>
        <v/>
      </c>
      <c r="E30" s="18">
        <f>COUNTIFS('04_アーチファクト_記録'!$C$2:$C$801,"3T",'04_アーチファクト_記録'!$D$2:$D$801,"GRE",'04_アーチファクト_記録'!$H$2:$H$801,$A30,'04_アーチファクト_記録'!$L$2:$L$801,"&gt;=0")</f>
        <v/>
      </c>
      <c r="F30" s="26">
        <f>IFERROR(IF(E30=0,"",ROUND(AVERAGEIFS('04_アーチファクト_記録'!$L$2:$L$801,'04_アーチファクト_記録'!$C$2:$C$801,"3T",'04_アーチファクト_記録'!$D$2:$D$801,"GRE",'04_アーチファクト_記録'!$H$2:$H$801,$A30),1)),"")</f>
        <v/>
      </c>
      <c r="G30" s="26">
        <f>IFERROR(IF(E30&lt;2,"",ROUND(SQRT(SUMPRODUCT(('04_アーチファクト_記録'!$C$2:$C$801="3T")*('04_アーチファクト_記録'!$D$2:$D$801="GRE")*('04_アーチファクト_記録'!$H$2:$H$801=$A30)*('04_アーチファクト_記録'!$L$2:$L$801&lt;&gt;"")*('04_アーチファクト_記録'!$L$2:$L$801-F30)^2)/(E30-1)),1)),"")</f>
        <v/>
      </c>
    </row>
    <row r="33">
      <c r="A33" s="27" t="inlineStr">
        <is>
          <t>各表の左端ラベルは入力値です。実際に撮影した水準に合わせて書き換えると、集計も追従します。</t>
        </is>
      </c>
    </row>
  </sheetData>
  <mergeCells count="6">
    <mergeCell ref="E24:G24"/>
    <mergeCell ref="B14:D14"/>
    <mergeCell ref="E14:G14"/>
    <mergeCell ref="B4:D4"/>
    <mergeCell ref="E4:G4"/>
    <mergeCell ref="B24:D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12" customWidth="1" min="4" max="4"/>
    <col width="11" customWidth="1" min="5" max="5"/>
    <col width="12" customWidth="1" min="6" max="6"/>
    <col width="11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6" customWidth="1" min="13" max="13"/>
    <col width="30" customWidth="1" min="14" max="14"/>
  </cols>
  <sheetData>
    <row r="1" ht="32" customHeight="1">
      <c r="A1" s="9" t="inlineStr">
        <is>
          <t>測定ID</t>
        </is>
      </c>
      <c r="B1" s="9" t="inlineStr">
        <is>
          <t>測定日</t>
        </is>
      </c>
      <c r="C1" s="9" t="inlineStr">
        <is>
          <t>装置</t>
        </is>
      </c>
      <c r="D1" s="9" t="inlineStr">
        <is>
          <t>シーケンス</t>
        </is>
      </c>
      <c r="E1" s="9" t="inlineStr">
        <is>
          <t>SAR (W/kg)</t>
        </is>
      </c>
      <c r="F1" s="9" t="inlineStr">
        <is>
          <t>撮像時間 (min)</t>
        </is>
      </c>
      <c r="G1" s="9" t="inlineStr">
        <is>
          <t>試料ID</t>
        </is>
      </c>
      <c r="H1" s="9" t="inlineStr">
        <is>
          <t>40℃</t>
        </is>
      </c>
      <c r="I1" s="9" t="inlineStr">
        <is>
          <t>45℃</t>
        </is>
      </c>
      <c r="J1" s="9" t="inlineStr">
        <is>
          <t>50℃</t>
        </is>
      </c>
      <c r="K1" s="9" t="inlineStr">
        <is>
          <t>55℃</t>
        </is>
      </c>
      <c r="L1" s="9" t="inlineStr">
        <is>
          <t>60℃</t>
        </is>
      </c>
      <c r="M1" s="9" t="inlineStr">
        <is>
          <t>推定最高到達温度</t>
        </is>
      </c>
      <c r="N1" s="9" t="inlineStr">
        <is>
          <t>備考</t>
        </is>
      </c>
    </row>
    <row r="2">
      <c r="A2" s="10" t="inlineStr">
        <is>
          <t>H-001</t>
        </is>
      </c>
      <c r="B2" s="11" t="n">
        <v>46070</v>
      </c>
      <c r="C2" s="10" t="inlineStr">
        <is>
          <t>3T</t>
        </is>
      </c>
      <c r="D2" s="10" t="inlineStr">
        <is>
          <t>TSE</t>
        </is>
      </c>
      <c r="E2" s="10" t="n">
        <v>3.2</v>
      </c>
      <c r="F2" s="10" t="n">
        <v>30</v>
      </c>
      <c r="G2" s="10" t="inlineStr">
        <is>
          <t>S-01</t>
        </is>
      </c>
      <c r="H2" s="10" t="inlineStr">
        <is>
          <t>未変色</t>
        </is>
      </c>
      <c r="I2" s="10" t="inlineStr">
        <is>
          <t>未変色</t>
        </is>
      </c>
      <c r="J2" s="10" t="inlineStr">
        <is>
          <t>未変色</t>
        </is>
      </c>
      <c r="K2" s="10" t="inlineStr">
        <is>
          <t>未変色</t>
        </is>
      </c>
      <c r="L2" s="10" t="inlineStr">
        <is>
          <t>未変色</t>
        </is>
      </c>
      <c r="M2" s="18">
        <f>IF(H2="","",IF(L2="変色","60℃以上",IF(K2="変色","55〜60℃",IF(J2="変色","50〜55℃",IF(I2="変色","45〜50℃",IF(H2="変色","40〜45℃","40℃未満"))))))</f>
        <v/>
      </c>
      <c r="N2" s="10" t="inlineStr">
        <is>
          <t>不可逆性示温ラベル</t>
        </is>
      </c>
    </row>
    <row r="3">
      <c r="A3" s="13" t="n"/>
      <c r="B3" s="14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8">
        <f>IF(H3="","",IF(L3="変色","60℃以上",IF(K3="変色","55〜60℃",IF(J3="変色","50〜55℃",IF(I3="変色","45〜50℃",IF(H3="変色","40〜45℃","40℃未満"))))))</f>
        <v/>
      </c>
      <c r="N3" s="13" t="n"/>
    </row>
    <row r="4">
      <c r="A4" s="13" t="n"/>
      <c r="B4" s="14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8">
        <f>IF(H4="","",IF(L4="変色","60℃以上",IF(K4="変色","55〜60℃",IF(J4="変色","50〜55℃",IF(I4="変色","45〜50℃",IF(H4="変色","40〜45℃","40℃未満"))))))</f>
        <v/>
      </c>
      <c r="N4" s="13" t="n"/>
    </row>
    <row r="5">
      <c r="A5" s="13" t="n"/>
      <c r="B5" s="14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8">
        <f>IF(H5="","",IF(L5="変色","60℃以上",IF(K5="変色","55〜60℃",IF(J5="変色","50〜55℃",IF(I5="変色","45〜50℃",IF(H5="変色","40〜45℃","40℃未満"))))))</f>
        <v/>
      </c>
      <c r="N5" s="13" t="n"/>
    </row>
    <row r="6">
      <c r="A6" s="13" t="n"/>
      <c r="B6" s="14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8">
        <f>IF(H6="","",IF(L6="変色","60℃以上",IF(K6="変色","55〜60℃",IF(J6="変色","50〜55℃",IF(I6="変色","45〜50℃",IF(H6="変色","40〜45℃","40℃未満"))))))</f>
        <v/>
      </c>
      <c r="N6" s="13" t="n"/>
    </row>
    <row r="7">
      <c r="A7" s="13" t="n"/>
      <c r="B7" s="14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8">
        <f>IF(H7="","",IF(L7="変色","60℃以上",IF(K7="変色","55〜60℃",IF(J7="変色","50〜55℃",IF(I7="変色","45〜50℃",IF(H7="変色","40〜45℃","40℃未満"))))))</f>
        <v/>
      </c>
      <c r="N7" s="13" t="n"/>
    </row>
    <row r="8">
      <c r="A8" s="13" t="n"/>
      <c r="B8" s="14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8">
        <f>IF(H8="","",IF(L8="変色","60℃以上",IF(K8="変色","55〜60℃",IF(J8="変色","50〜55℃",IF(I8="変色","45〜50℃",IF(H8="変色","40〜45℃","40℃未満"))))))</f>
        <v/>
      </c>
      <c r="N8" s="13" t="n"/>
    </row>
    <row r="9">
      <c r="A9" s="13" t="n"/>
      <c r="B9" s="14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8">
        <f>IF(H9="","",IF(L9="変色","60℃以上",IF(K9="変色","55〜60℃",IF(J9="変色","50〜55℃",IF(I9="変色","45〜50℃",IF(H9="変色","40〜45℃","40℃未満"))))))</f>
        <v/>
      </c>
      <c r="N9" s="13" t="n"/>
    </row>
    <row r="10">
      <c r="A10" s="13" t="n"/>
      <c r="B10" s="14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8">
        <f>IF(H10="","",IF(L10="変色","60℃以上",IF(K10="変色","55〜60℃",IF(J10="変色","50〜55℃",IF(I10="変色","45〜50℃",IF(H10="変色","40〜45℃","40℃未満"))))))</f>
        <v/>
      </c>
      <c r="N10" s="13" t="n"/>
    </row>
    <row r="11">
      <c r="A11" s="13" t="n"/>
      <c r="B11" s="14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8">
        <f>IF(H11="","",IF(L11="変色","60℃以上",IF(K11="変色","55〜60℃",IF(J11="変色","50〜55℃",IF(I11="変色","45〜50℃",IF(H11="変色","40〜45℃","40℃未満"))))))</f>
        <v/>
      </c>
      <c r="N11" s="13" t="n"/>
    </row>
    <row r="12">
      <c r="A12" s="13" t="n"/>
      <c r="B12" s="14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8">
        <f>IF(H12="","",IF(L12="変色","60℃以上",IF(K12="変色","55〜60℃",IF(J12="変色","50〜55℃",IF(I12="変色","45〜50℃",IF(H12="変色","40〜45℃","40℃未満"))))))</f>
        <v/>
      </c>
      <c r="N12" s="13" t="n"/>
    </row>
    <row r="13">
      <c r="A13" s="13" t="n"/>
      <c r="B13" s="14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8">
        <f>IF(H13="","",IF(L13="変色","60℃以上",IF(K13="変色","55〜60℃",IF(J13="変色","50〜55℃",IF(I13="変色","45〜50℃",IF(H13="変色","40〜45℃","40℃未満"))))))</f>
        <v/>
      </c>
      <c r="N13" s="13" t="n"/>
    </row>
    <row r="14">
      <c r="A14" s="13" t="n"/>
      <c r="B14" s="14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8">
        <f>IF(H14="","",IF(L14="変色","60℃以上",IF(K14="変色","55〜60℃",IF(J14="変色","50〜55℃",IF(I14="変色","45〜50℃",IF(H14="変色","40〜45℃","40℃未満"))))))</f>
        <v/>
      </c>
      <c r="N14" s="13" t="n"/>
    </row>
    <row r="15">
      <c r="A15" s="13" t="n"/>
      <c r="B15" s="14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8">
        <f>IF(H15="","",IF(L15="変色","60℃以上",IF(K15="変色","55〜60℃",IF(J15="変色","50〜55℃",IF(I15="変色","45〜50℃",IF(H15="変色","40〜45℃","40℃未満"))))))</f>
        <v/>
      </c>
      <c r="N15" s="13" t="n"/>
    </row>
    <row r="16">
      <c r="A16" s="13" t="n"/>
      <c r="B16" s="14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8">
        <f>IF(H16="","",IF(L16="変色","60℃以上",IF(K16="変色","55〜60℃",IF(J16="変色","50〜55℃",IF(I16="変色","45〜50℃",IF(H16="変色","40〜45℃","40℃未満"))))))</f>
        <v/>
      </c>
      <c r="N16" s="13" t="n"/>
    </row>
    <row r="17">
      <c r="A17" s="13" t="n"/>
      <c r="B17" s="14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8">
        <f>IF(H17="","",IF(L17="変色","60℃以上",IF(K17="変色","55〜60℃",IF(J17="変色","50〜55℃",IF(I17="変色","45〜50℃",IF(H17="変色","40〜45℃","40℃未満"))))))</f>
        <v/>
      </c>
      <c r="N17" s="13" t="n"/>
    </row>
    <row r="18">
      <c r="A18" s="13" t="n"/>
      <c r="B18" s="14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8">
        <f>IF(H18="","",IF(L18="変色","60℃以上",IF(K18="変色","55〜60℃",IF(J18="変色","50〜55℃",IF(I18="変色","45〜50℃",IF(H18="変色","40〜45℃","40℃未満"))))))</f>
        <v/>
      </c>
      <c r="N18" s="13" t="n"/>
    </row>
    <row r="19">
      <c r="A19" s="13" t="n"/>
      <c r="B19" s="14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8">
        <f>IF(H19="","",IF(L19="変色","60℃以上",IF(K19="変色","55〜60℃",IF(J19="変色","50〜55℃",IF(I19="変色","45〜50℃",IF(H19="変色","40〜45℃","40℃未満"))))))</f>
        <v/>
      </c>
      <c r="N19" s="13" t="n"/>
    </row>
    <row r="20">
      <c r="A20" s="13" t="n"/>
      <c r="B20" s="14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8">
        <f>IF(H20="","",IF(L20="変色","60℃以上",IF(K20="変色","55〜60℃",IF(J20="変色","50〜55℃",IF(I20="変色","45〜50℃",IF(H20="変色","40〜45℃","40℃未満"))))))</f>
        <v/>
      </c>
      <c r="N20" s="13" t="n"/>
    </row>
    <row r="21">
      <c r="A21" s="13" t="n"/>
      <c r="B21" s="14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8">
        <f>IF(H21="","",IF(L21="変色","60℃以上",IF(K21="変色","55〜60℃",IF(J21="変色","50〜55℃",IF(I21="変色","45〜50℃",IF(H21="変色","40〜45℃","40℃未満"))))))</f>
        <v/>
      </c>
      <c r="N21" s="13" t="n"/>
    </row>
    <row r="22">
      <c r="A22" s="13" t="n"/>
      <c r="B22" s="14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8">
        <f>IF(H22="","",IF(L22="変色","60℃以上",IF(K22="変色","55〜60℃",IF(J22="変色","50〜55℃",IF(I22="変色","45〜50℃",IF(H22="変色","40〜45℃","40℃未満"))))))</f>
        <v/>
      </c>
      <c r="N22" s="13" t="n"/>
    </row>
    <row r="23">
      <c r="A23" s="13" t="n"/>
      <c r="B23" s="14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8">
        <f>IF(H23="","",IF(L23="変色","60℃以上",IF(K23="変色","55〜60℃",IF(J23="変色","50〜55℃",IF(I23="変色","45〜50℃",IF(H23="変色","40〜45℃","40℃未満"))))))</f>
        <v/>
      </c>
      <c r="N23" s="13" t="n"/>
    </row>
    <row r="24">
      <c r="A24" s="13" t="n"/>
      <c r="B24" s="14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8">
        <f>IF(H24="","",IF(L24="変色","60℃以上",IF(K24="変色","55〜60℃",IF(J24="変色","50〜55℃",IF(I24="変色","45〜50℃",IF(H24="変色","40〜45℃","40℃未満"))))))</f>
        <v/>
      </c>
      <c r="N24" s="13" t="n"/>
    </row>
    <row r="25">
      <c r="A25" s="13" t="n"/>
      <c r="B25" s="14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8">
        <f>IF(H25="","",IF(L25="変色","60℃以上",IF(K25="変色","55〜60℃",IF(J25="変色","50〜55℃",IF(I25="変色","45〜50℃",IF(H25="変色","40〜45℃","40℃未満"))))))</f>
        <v/>
      </c>
      <c r="N25" s="13" t="n"/>
    </row>
    <row r="26">
      <c r="A26" s="13" t="n"/>
      <c r="B26" s="14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8">
        <f>IF(H26="","",IF(L26="変色","60℃以上",IF(K26="変色","55〜60℃",IF(J26="変色","50〜55℃",IF(I26="変色","45〜50℃",IF(H26="変色","40〜45℃","40℃未満"))))))</f>
        <v/>
      </c>
      <c r="N26" s="13" t="n"/>
    </row>
    <row r="27">
      <c r="A27" s="13" t="n"/>
      <c r="B27" s="14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8">
        <f>IF(H27="","",IF(L27="変色","60℃以上",IF(K27="変色","55〜60℃",IF(J27="変色","50〜55℃",IF(I27="変色","45〜50℃",IF(H27="変色","40〜45℃","40℃未満"))))))</f>
        <v/>
      </c>
      <c r="N27" s="13" t="n"/>
    </row>
    <row r="28">
      <c r="A28" s="13" t="n"/>
      <c r="B28" s="14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8">
        <f>IF(H28="","",IF(L28="変色","60℃以上",IF(K28="変色","55〜60℃",IF(J28="変色","50〜55℃",IF(I28="変色","45〜50℃",IF(H28="変色","40〜45℃","40℃未満"))))))</f>
        <v/>
      </c>
      <c r="N28" s="13" t="n"/>
    </row>
    <row r="29">
      <c r="A29" s="13" t="n"/>
      <c r="B29" s="14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8">
        <f>IF(H29="","",IF(L29="変色","60℃以上",IF(K29="変色","55〜60℃",IF(J29="変色","50〜55℃",IF(I29="変色","45〜50℃",IF(H29="変色","40〜45℃","40℃未満"))))))</f>
        <v/>
      </c>
      <c r="N29" s="13" t="n"/>
    </row>
    <row r="30">
      <c r="A30" s="13" t="n"/>
      <c r="B30" s="14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8">
        <f>IF(H30="","",IF(L30="変色","60℃以上",IF(K30="変色","55〜60℃",IF(J30="変色","50〜55℃",IF(I30="変色","45〜50℃",IF(H30="変色","40〜45℃","40℃未満"))))))</f>
        <v/>
      </c>
      <c r="N30" s="13" t="n"/>
    </row>
    <row r="31">
      <c r="A31" s="13" t="n"/>
      <c r="B31" s="14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8">
        <f>IF(H31="","",IF(L31="変色","60℃以上",IF(K31="変色","55〜60℃",IF(J31="変色","50〜55℃",IF(I31="変色","45〜50℃",IF(H31="変色","40〜45℃","40℃未満"))))))</f>
        <v/>
      </c>
      <c r="N31" s="13" t="n"/>
    </row>
    <row r="32">
      <c r="A32" s="13" t="n"/>
      <c r="B32" s="14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8">
        <f>IF(H32="","",IF(L32="変色","60℃以上",IF(K32="変色","55〜60℃",IF(J32="変色","50〜55℃",IF(I32="変色","45〜50℃",IF(H32="変色","40〜45℃","40℃未満"))))))</f>
        <v/>
      </c>
      <c r="N32" s="13" t="n"/>
    </row>
    <row r="33">
      <c r="A33" s="13" t="n"/>
      <c r="B33" s="14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8">
        <f>IF(H33="","",IF(L33="変色","60℃以上",IF(K33="変色","55〜60℃",IF(J33="変色","50〜55℃",IF(I33="変色","45〜50℃",IF(H33="変色","40〜45℃","40℃未満"))))))</f>
        <v/>
      </c>
      <c r="N33" s="13" t="n"/>
    </row>
    <row r="34">
      <c r="A34" s="13" t="n"/>
      <c r="B34" s="14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8">
        <f>IF(H34="","",IF(L34="変色","60℃以上",IF(K34="変色","55〜60℃",IF(J34="変色","50〜55℃",IF(I34="変色","45〜50℃",IF(H34="変色","40〜45℃","40℃未満"))))))</f>
        <v/>
      </c>
      <c r="N34" s="13" t="n"/>
    </row>
    <row r="35">
      <c r="A35" s="13" t="n"/>
      <c r="B35" s="14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8">
        <f>IF(H35="","",IF(L35="変色","60℃以上",IF(K35="変色","55〜60℃",IF(J35="変色","50〜55℃",IF(I35="変色","45〜50℃",IF(H35="変色","40〜45℃","40℃未満"))))))</f>
        <v/>
      </c>
      <c r="N35" s="13" t="n"/>
    </row>
    <row r="36">
      <c r="A36" s="13" t="n"/>
      <c r="B36" s="14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8">
        <f>IF(H36="","",IF(L36="変色","60℃以上",IF(K36="変色","55〜60℃",IF(J36="変色","50〜55℃",IF(I36="変色","45〜50℃",IF(H36="変色","40〜45℃","40℃未満"))))))</f>
        <v/>
      </c>
      <c r="N36" s="13" t="n"/>
    </row>
    <row r="37">
      <c r="A37" s="13" t="n"/>
      <c r="B37" s="14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8">
        <f>IF(H37="","",IF(L37="変色","60℃以上",IF(K37="変色","55〜60℃",IF(J37="変色","50〜55℃",IF(I37="変色","45〜50℃",IF(H37="変色","40〜45℃","40℃未満"))))))</f>
        <v/>
      </c>
      <c r="N37" s="13" t="n"/>
    </row>
    <row r="38">
      <c r="A38" s="13" t="n"/>
      <c r="B38" s="14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8">
        <f>IF(H38="","",IF(L38="変色","60℃以上",IF(K38="変色","55〜60℃",IF(J38="変色","50〜55℃",IF(I38="変色","45〜50℃",IF(H38="変色","40〜45℃","40℃未満"))))))</f>
        <v/>
      </c>
      <c r="N38" s="13" t="n"/>
    </row>
    <row r="39">
      <c r="A39" s="13" t="n"/>
      <c r="B39" s="14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8">
        <f>IF(H39="","",IF(L39="変色","60℃以上",IF(K39="変色","55〜60℃",IF(J39="変色","50〜55℃",IF(I39="変色","45〜50℃",IF(H39="変色","40〜45℃","40℃未満"))))))</f>
        <v/>
      </c>
      <c r="N39" s="13" t="n"/>
    </row>
    <row r="40">
      <c r="A40" s="13" t="n"/>
      <c r="B40" s="14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8">
        <f>IF(H40="","",IF(L40="変色","60℃以上",IF(K40="変色","55〜60℃",IF(J40="変色","50〜55℃",IF(I40="変色","45〜50℃",IF(H40="変色","40〜45℃","40℃未満"))))))</f>
        <v/>
      </c>
      <c r="N40" s="13" t="n"/>
    </row>
    <row r="41">
      <c r="A41" s="13" t="n"/>
      <c r="B41" s="14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8">
        <f>IF(H41="","",IF(L41="変色","60℃以上",IF(K41="変色","55〜60℃",IF(J41="変色","50〜55℃",IF(I41="変色","45〜50℃",IF(H41="変色","40〜45℃","40℃未満"))))))</f>
        <v/>
      </c>
      <c r="N41" s="13" t="n"/>
    </row>
    <row r="42">
      <c r="A42" s="13" t="n"/>
      <c r="B42" s="14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8">
        <f>IF(H42="","",IF(L42="変色","60℃以上",IF(K42="変色","55〜60℃",IF(J42="変色","50〜55℃",IF(I42="変色","45〜50℃",IF(H42="変色","40〜45℃","40℃未満"))))))</f>
        <v/>
      </c>
      <c r="N42" s="13" t="n"/>
    </row>
    <row r="43">
      <c r="A43" s="13" t="n"/>
      <c r="B43" s="14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8">
        <f>IF(H43="","",IF(L43="変色","60℃以上",IF(K43="変色","55〜60℃",IF(J43="変色","50〜55℃",IF(I43="変色","45〜50℃",IF(H43="変色","40〜45℃","40℃未満"))))))</f>
        <v/>
      </c>
      <c r="N43" s="13" t="n"/>
    </row>
    <row r="44">
      <c r="A44" s="13" t="n"/>
      <c r="B44" s="14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8">
        <f>IF(H44="","",IF(L44="変色","60℃以上",IF(K44="変色","55〜60℃",IF(J44="変色","50〜55℃",IF(I44="変色","45〜50℃",IF(H44="変色","40〜45℃","40℃未満"))))))</f>
        <v/>
      </c>
      <c r="N44" s="13" t="n"/>
    </row>
    <row r="45">
      <c r="A45" s="13" t="n"/>
      <c r="B45" s="14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8">
        <f>IF(H45="","",IF(L45="変色","60℃以上",IF(K45="変色","55〜60℃",IF(J45="変色","50〜55℃",IF(I45="変色","45〜50℃",IF(H45="変色","40〜45℃","40℃未満"))))))</f>
        <v/>
      </c>
      <c r="N45" s="13" t="n"/>
    </row>
    <row r="46">
      <c r="A46" s="13" t="n"/>
      <c r="B46" s="14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8">
        <f>IF(H46="","",IF(L46="変色","60℃以上",IF(K46="変色","55〜60℃",IF(J46="変色","50〜55℃",IF(I46="変色","45〜50℃",IF(H46="変色","40〜45℃","40℃未満"))))))</f>
        <v/>
      </c>
      <c r="N46" s="13" t="n"/>
    </row>
    <row r="47">
      <c r="A47" s="13" t="n"/>
      <c r="B47" s="14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8">
        <f>IF(H47="","",IF(L47="変色","60℃以上",IF(K47="変色","55〜60℃",IF(J47="変色","50〜55℃",IF(I47="変色","45〜50℃",IF(H47="変色","40〜45℃","40℃未満"))))))</f>
        <v/>
      </c>
      <c r="N47" s="13" t="n"/>
    </row>
    <row r="48">
      <c r="A48" s="13" t="n"/>
      <c r="B48" s="14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8">
        <f>IF(H48="","",IF(L48="変色","60℃以上",IF(K48="変色","55〜60℃",IF(J48="変色","50〜55℃",IF(I48="変色","45〜50℃",IF(H48="変色","40〜45℃","40℃未満"))))))</f>
        <v/>
      </c>
      <c r="N48" s="13" t="n"/>
    </row>
    <row r="49">
      <c r="A49" s="13" t="n"/>
      <c r="B49" s="14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8">
        <f>IF(H49="","",IF(L49="変色","60℃以上",IF(K49="変色","55〜60℃",IF(J49="変色","50〜55℃",IF(I49="変色","45〜50℃",IF(H49="変色","40〜45℃","40℃未満"))))))</f>
        <v/>
      </c>
      <c r="N49" s="13" t="n"/>
    </row>
    <row r="50">
      <c r="A50" s="13" t="n"/>
      <c r="B50" s="14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8">
        <f>IF(H50="","",IF(L50="変色","60℃以上",IF(K50="変色","55〜60℃",IF(J50="変色","50〜55℃",IF(I50="変色","45〜50℃",IF(H50="変色","40〜45℃","40℃未満"))))))</f>
        <v/>
      </c>
      <c r="N50" s="13" t="n"/>
    </row>
    <row r="51">
      <c r="A51" s="13" t="n"/>
      <c r="B51" s="14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8">
        <f>IF(H51="","",IF(L51="変色","60℃以上",IF(K51="変色","55〜60℃",IF(J51="変色","50〜55℃",IF(I51="変色","45〜50℃",IF(H51="変色","40〜45℃","40℃未満"))))))</f>
        <v/>
      </c>
      <c r="N51" s="13" t="n"/>
    </row>
    <row r="52">
      <c r="A52" s="13" t="n"/>
      <c r="B52" s="14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8">
        <f>IF(H52="","",IF(L52="変色","60℃以上",IF(K52="変色","55〜60℃",IF(J52="変色","50〜55℃",IF(I52="変色","45〜50℃",IF(H52="変色","40〜45℃","40℃未満"))))))</f>
        <v/>
      </c>
      <c r="N52" s="13" t="n"/>
    </row>
    <row r="53">
      <c r="A53" s="13" t="n"/>
      <c r="B53" s="14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8">
        <f>IF(H53="","",IF(L53="変色","60℃以上",IF(K53="変色","55〜60℃",IF(J53="変色","50〜55℃",IF(I53="変色","45〜50℃",IF(H53="変色","40〜45℃","40℃未満"))))))</f>
        <v/>
      </c>
      <c r="N53" s="13" t="n"/>
    </row>
    <row r="54">
      <c r="A54" s="13" t="n"/>
      <c r="B54" s="14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8">
        <f>IF(H54="","",IF(L54="変色","60℃以上",IF(K54="変色","55〜60℃",IF(J54="変色","50〜55℃",IF(I54="変色","45〜50℃",IF(H54="変色","40〜45℃","40℃未満"))))))</f>
        <v/>
      </c>
      <c r="N54" s="13" t="n"/>
    </row>
    <row r="55">
      <c r="A55" s="13" t="n"/>
      <c r="B55" s="14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8">
        <f>IF(H55="","",IF(L55="変色","60℃以上",IF(K55="変色","55〜60℃",IF(J55="変色","50〜55℃",IF(I55="変色","45〜50℃",IF(H55="変色","40〜45℃","40℃未満"))))))</f>
        <v/>
      </c>
      <c r="N55" s="13" t="n"/>
    </row>
    <row r="56">
      <c r="A56" s="13" t="n"/>
      <c r="B56" s="14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8">
        <f>IF(H56="","",IF(L56="変色","60℃以上",IF(K56="変色","55〜60℃",IF(J56="変色","50〜55℃",IF(I56="変色","45〜50℃",IF(H56="変色","40〜45℃","40℃未満"))))))</f>
        <v/>
      </c>
      <c r="N56" s="13" t="n"/>
    </row>
    <row r="57">
      <c r="A57" s="13" t="n"/>
      <c r="B57" s="14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8">
        <f>IF(H57="","",IF(L57="変色","60℃以上",IF(K57="変色","55〜60℃",IF(J57="変色","50〜55℃",IF(I57="変色","45〜50℃",IF(H57="変色","40〜45℃","40℃未満"))))))</f>
        <v/>
      </c>
      <c r="N57" s="13" t="n"/>
    </row>
    <row r="58">
      <c r="A58" s="13" t="n"/>
      <c r="B58" s="14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8">
        <f>IF(H58="","",IF(L58="変色","60℃以上",IF(K58="変色","55〜60℃",IF(J58="変色","50〜55℃",IF(I58="変色","45〜50℃",IF(H58="変色","40〜45℃","40℃未満"))))))</f>
        <v/>
      </c>
      <c r="N58" s="13" t="n"/>
    </row>
    <row r="59">
      <c r="A59" s="13" t="n"/>
      <c r="B59" s="14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8">
        <f>IF(H59="","",IF(L59="変色","60℃以上",IF(K59="変色","55〜60℃",IF(J59="変色","50〜55℃",IF(I59="変色","45〜50℃",IF(H59="変色","40〜45℃","40℃未満"))))))</f>
        <v/>
      </c>
      <c r="N59" s="13" t="n"/>
    </row>
    <row r="60">
      <c r="A60" s="13" t="n"/>
      <c r="B60" s="14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8">
        <f>IF(H60="","",IF(L60="変色","60℃以上",IF(K60="変色","55〜60℃",IF(J60="変色","50〜55℃",IF(I60="変色","45〜50℃",IF(H60="変色","40〜45℃","40℃未満"))))))</f>
        <v/>
      </c>
      <c r="N60" s="13" t="n"/>
    </row>
    <row r="61">
      <c r="A61" s="13" t="n"/>
      <c r="B61" s="14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8">
        <f>IF(H61="","",IF(L61="変色","60℃以上",IF(K61="変色","55〜60℃",IF(J61="変色","50〜55℃",IF(I61="変色","45〜50℃",IF(H61="変色","40〜45℃","40℃未満"))))))</f>
        <v/>
      </c>
      <c r="N61" s="13" t="n"/>
    </row>
    <row r="62">
      <c r="A62" s="13" t="n"/>
      <c r="B62" s="14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8">
        <f>IF(H62="","",IF(L62="変色","60℃以上",IF(K62="変色","55〜60℃",IF(J62="変色","50〜55℃",IF(I62="変色","45〜50℃",IF(H62="変色","40〜45℃","40℃未満"))))))</f>
        <v/>
      </c>
      <c r="N62" s="13" t="n"/>
    </row>
    <row r="63">
      <c r="A63" s="13" t="n"/>
      <c r="B63" s="14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8">
        <f>IF(H63="","",IF(L63="変色","60℃以上",IF(K63="変色","55〜60℃",IF(J63="変色","50〜55℃",IF(I63="変色","45〜50℃",IF(H63="変色","40〜45℃","40℃未満"))))))</f>
        <v/>
      </c>
      <c r="N63" s="13" t="n"/>
    </row>
    <row r="64">
      <c r="A64" s="13" t="n"/>
      <c r="B64" s="14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8">
        <f>IF(H64="","",IF(L64="変色","60℃以上",IF(K64="変色","55〜60℃",IF(J64="変色","50〜55℃",IF(I64="変色","45〜50℃",IF(H64="変色","40〜45℃","40℃未満"))))))</f>
        <v/>
      </c>
      <c r="N64" s="13" t="n"/>
    </row>
    <row r="65">
      <c r="A65" s="13" t="n"/>
      <c r="B65" s="14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8">
        <f>IF(H65="","",IF(L65="変色","60℃以上",IF(K65="変色","55〜60℃",IF(J65="変色","50〜55℃",IF(I65="変色","45〜50℃",IF(H65="変色","40〜45℃","40℃未満"))))))</f>
        <v/>
      </c>
      <c r="N65" s="13" t="n"/>
    </row>
    <row r="66">
      <c r="A66" s="13" t="n"/>
      <c r="B66" s="14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8">
        <f>IF(H66="","",IF(L66="変色","60℃以上",IF(K66="変色","55〜60℃",IF(J66="変色","50〜55℃",IF(I66="変色","45〜50℃",IF(H66="変色","40〜45℃","40℃未満"))))))</f>
        <v/>
      </c>
      <c r="N66" s="13" t="n"/>
    </row>
    <row r="67">
      <c r="A67" s="13" t="n"/>
      <c r="B67" s="14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8">
        <f>IF(H67="","",IF(L67="変色","60℃以上",IF(K67="変色","55〜60℃",IF(J67="変色","50〜55℃",IF(I67="変色","45〜50℃",IF(H67="変色","40〜45℃","40℃未満"))))))</f>
        <v/>
      </c>
      <c r="N67" s="13" t="n"/>
    </row>
    <row r="68">
      <c r="A68" s="13" t="n"/>
      <c r="B68" s="14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8">
        <f>IF(H68="","",IF(L68="変色","60℃以上",IF(K68="変色","55〜60℃",IF(J68="変色","50〜55℃",IF(I68="変色","45〜50℃",IF(H68="変色","40〜45℃","40℃未満"))))))</f>
        <v/>
      </c>
      <c r="N68" s="13" t="n"/>
    </row>
    <row r="69">
      <c r="A69" s="13" t="n"/>
      <c r="B69" s="14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8">
        <f>IF(H69="","",IF(L69="変色","60℃以上",IF(K69="変色","55〜60℃",IF(J69="変色","50〜55℃",IF(I69="変色","45〜50℃",IF(H69="変色","40〜45℃","40℃未満"))))))</f>
        <v/>
      </c>
      <c r="N69" s="13" t="n"/>
    </row>
    <row r="70">
      <c r="A70" s="13" t="n"/>
      <c r="B70" s="14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8">
        <f>IF(H70="","",IF(L70="変色","60℃以上",IF(K70="変色","55〜60℃",IF(J70="変色","50〜55℃",IF(I70="変色","45〜50℃",IF(H70="変色","40〜45℃","40℃未満"))))))</f>
        <v/>
      </c>
      <c r="N70" s="13" t="n"/>
    </row>
    <row r="71">
      <c r="A71" s="13" t="n"/>
      <c r="B71" s="14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8">
        <f>IF(H71="","",IF(L71="変色","60℃以上",IF(K71="変色","55〜60℃",IF(J71="変色","50〜55℃",IF(I71="変色","45〜50℃",IF(H71="変色","40〜45℃","40℃未満"))))))</f>
        <v/>
      </c>
      <c r="N71" s="13" t="n"/>
    </row>
    <row r="72">
      <c r="A72" s="13" t="n"/>
      <c r="B72" s="14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8">
        <f>IF(H72="","",IF(L72="変色","60℃以上",IF(K72="変色","55〜60℃",IF(J72="変色","50〜55℃",IF(I72="変色","45〜50℃",IF(H72="変色","40〜45℃","40℃未満"))))))</f>
        <v/>
      </c>
      <c r="N72" s="13" t="n"/>
    </row>
    <row r="73">
      <c r="A73" s="13" t="n"/>
      <c r="B73" s="14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8">
        <f>IF(H73="","",IF(L73="変色","60℃以上",IF(K73="変色","55〜60℃",IF(J73="変色","50〜55℃",IF(I73="変色","45〜50℃",IF(H73="変色","40〜45℃","40℃未満"))))))</f>
        <v/>
      </c>
      <c r="N73" s="13" t="n"/>
    </row>
    <row r="74">
      <c r="A74" s="13" t="n"/>
      <c r="B74" s="14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8">
        <f>IF(H74="","",IF(L74="変色","60℃以上",IF(K74="変色","55〜60℃",IF(J74="変色","50〜55℃",IF(I74="変色","45〜50℃",IF(H74="変色","40〜45℃","40℃未満"))))))</f>
        <v/>
      </c>
      <c r="N74" s="13" t="n"/>
    </row>
    <row r="75">
      <c r="A75" s="13" t="n"/>
      <c r="B75" s="14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8">
        <f>IF(H75="","",IF(L75="変色","60℃以上",IF(K75="変色","55〜60℃",IF(J75="変色","50〜55℃",IF(I75="変色","45〜50℃",IF(H75="変色","40〜45℃","40℃未満"))))))</f>
        <v/>
      </c>
      <c r="N75" s="13" t="n"/>
    </row>
    <row r="76">
      <c r="A76" s="13" t="n"/>
      <c r="B76" s="14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8">
        <f>IF(H76="","",IF(L76="変色","60℃以上",IF(K76="変色","55〜60℃",IF(J76="変色","50〜55℃",IF(I76="変色","45〜50℃",IF(H76="変色","40〜45℃","40℃未満"))))))</f>
        <v/>
      </c>
      <c r="N76" s="13" t="n"/>
    </row>
    <row r="77">
      <c r="A77" s="13" t="n"/>
      <c r="B77" s="14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8">
        <f>IF(H77="","",IF(L77="変色","60℃以上",IF(K77="変色","55〜60℃",IF(J77="変色","50〜55℃",IF(I77="変色","45〜50℃",IF(H77="変色","40〜45℃","40℃未満"))))))</f>
        <v/>
      </c>
      <c r="N77" s="13" t="n"/>
    </row>
    <row r="78">
      <c r="A78" s="13" t="n"/>
      <c r="B78" s="14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8">
        <f>IF(H78="","",IF(L78="変色","60℃以上",IF(K78="変色","55〜60℃",IF(J78="変色","50〜55℃",IF(I78="変色","45〜50℃",IF(H78="変色","40〜45℃","40℃未満"))))))</f>
        <v/>
      </c>
      <c r="N78" s="13" t="n"/>
    </row>
    <row r="79">
      <c r="A79" s="13" t="n"/>
      <c r="B79" s="14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8">
        <f>IF(H79="","",IF(L79="変色","60℃以上",IF(K79="変色","55〜60℃",IF(J79="変色","50〜55℃",IF(I79="変色","45〜50℃",IF(H79="変色","40〜45℃","40℃未満"))))))</f>
        <v/>
      </c>
      <c r="N79" s="13" t="n"/>
    </row>
    <row r="80">
      <c r="A80" s="13" t="n"/>
      <c r="B80" s="14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8">
        <f>IF(H80="","",IF(L80="変色","60℃以上",IF(K80="変色","55〜60℃",IF(J80="変色","50〜55℃",IF(I80="変色","45〜50℃",IF(H80="変色","40〜45℃","40℃未満"))))))</f>
        <v/>
      </c>
      <c r="N80" s="13" t="n"/>
    </row>
    <row r="81">
      <c r="A81" s="13" t="n"/>
      <c r="B81" s="14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8">
        <f>IF(H81="","",IF(L81="変色","60℃以上",IF(K81="変色","55〜60℃",IF(J81="変色","50〜55℃",IF(I81="変色","45〜50℃",IF(H81="変色","40〜45℃","40℃未満"))))))</f>
        <v/>
      </c>
      <c r="N81" s="13" t="n"/>
    </row>
    <row r="82">
      <c r="A82" s="13" t="n"/>
      <c r="B82" s="14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8">
        <f>IF(H82="","",IF(L82="変色","60℃以上",IF(K82="変色","55〜60℃",IF(J82="変色","50〜55℃",IF(I82="変色","45〜50℃",IF(H82="変色","40〜45℃","40℃未満"))))))</f>
        <v/>
      </c>
      <c r="N82" s="13" t="n"/>
    </row>
    <row r="83">
      <c r="A83" s="13" t="n"/>
      <c r="B83" s="14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8">
        <f>IF(H83="","",IF(L83="変色","60℃以上",IF(K83="変色","55〜60℃",IF(J83="変色","50〜55℃",IF(I83="変色","45〜50℃",IF(H83="変色","40〜45℃","40℃未満"))))))</f>
        <v/>
      </c>
      <c r="N83" s="13" t="n"/>
    </row>
    <row r="84">
      <c r="A84" s="13" t="n"/>
      <c r="B84" s="14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8">
        <f>IF(H84="","",IF(L84="変色","60℃以上",IF(K84="変色","55〜60℃",IF(J84="変色","50〜55℃",IF(I84="変色","45〜50℃",IF(H84="変色","40〜45℃","40℃未満"))))))</f>
        <v/>
      </c>
      <c r="N84" s="13" t="n"/>
    </row>
    <row r="85">
      <c r="A85" s="13" t="n"/>
      <c r="B85" s="14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8">
        <f>IF(H85="","",IF(L85="変色","60℃以上",IF(K85="変色","55〜60℃",IF(J85="変色","50〜55℃",IF(I85="変色","45〜50℃",IF(H85="変色","40〜45℃","40℃未満"))))))</f>
        <v/>
      </c>
      <c r="N85" s="13" t="n"/>
    </row>
    <row r="86">
      <c r="A86" s="13" t="n"/>
      <c r="B86" s="14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8">
        <f>IF(H86="","",IF(L86="変色","60℃以上",IF(K86="変色","55〜60℃",IF(J86="変色","50〜55℃",IF(I86="変色","45〜50℃",IF(H86="変色","40〜45℃","40℃未満"))))))</f>
        <v/>
      </c>
      <c r="N86" s="13" t="n"/>
    </row>
    <row r="87">
      <c r="A87" s="13" t="n"/>
      <c r="B87" s="14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8">
        <f>IF(H87="","",IF(L87="変色","60℃以上",IF(K87="変色","55〜60℃",IF(J87="変色","50〜55℃",IF(I87="変色","45〜50℃",IF(H87="変色","40〜45℃","40℃未満"))))))</f>
        <v/>
      </c>
      <c r="N87" s="13" t="n"/>
    </row>
    <row r="88">
      <c r="A88" s="13" t="n"/>
      <c r="B88" s="14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8">
        <f>IF(H88="","",IF(L88="変色","60℃以上",IF(K88="変色","55〜60℃",IF(J88="変色","50〜55℃",IF(I88="変色","45〜50℃",IF(H88="変色","40〜45℃","40℃未満"))))))</f>
        <v/>
      </c>
      <c r="N88" s="13" t="n"/>
    </row>
    <row r="89">
      <c r="A89" s="13" t="n"/>
      <c r="B89" s="14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8">
        <f>IF(H89="","",IF(L89="変色","60℃以上",IF(K89="変色","55〜60℃",IF(J89="変色","50〜55℃",IF(I89="変色","45〜50℃",IF(H89="変色","40〜45℃","40℃未満"))))))</f>
        <v/>
      </c>
      <c r="N89" s="13" t="n"/>
    </row>
    <row r="90">
      <c r="A90" s="13" t="n"/>
      <c r="B90" s="14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8">
        <f>IF(H90="","",IF(L90="変色","60℃以上",IF(K90="変色","55〜60℃",IF(J90="変色","50〜55℃",IF(I90="変色","45〜50℃",IF(H90="変色","40〜45℃","40℃未満"))))))</f>
        <v/>
      </c>
      <c r="N90" s="13" t="n"/>
    </row>
    <row r="91">
      <c r="A91" s="13" t="n"/>
      <c r="B91" s="14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8">
        <f>IF(H91="","",IF(L91="変色","60℃以上",IF(K91="変色","55〜60℃",IF(J91="変色","50〜55℃",IF(I91="変色","45〜50℃",IF(H91="変色","40〜45℃","40℃未満"))))))</f>
        <v/>
      </c>
      <c r="N91" s="13" t="n"/>
    </row>
    <row r="92">
      <c r="A92" s="13" t="n"/>
      <c r="B92" s="14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8">
        <f>IF(H92="","",IF(L92="変色","60℃以上",IF(K92="変色","55〜60℃",IF(J92="変色","50〜55℃",IF(I92="変色","45〜50℃",IF(H92="変色","40〜45℃","40℃未満"))))))</f>
        <v/>
      </c>
      <c r="N92" s="13" t="n"/>
    </row>
    <row r="93">
      <c r="A93" s="13" t="n"/>
      <c r="B93" s="14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8">
        <f>IF(H93="","",IF(L93="変色","60℃以上",IF(K93="変色","55〜60℃",IF(J93="変色","50〜55℃",IF(I93="変色","45〜50℃",IF(H93="変色","40〜45℃","40℃未満"))))))</f>
        <v/>
      </c>
      <c r="N93" s="13" t="n"/>
    </row>
    <row r="94">
      <c r="A94" s="13" t="n"/>
      <c r="B94" s="14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8">
        <f>IF(H94="","",IF(L94="変色","60℃以上",IF(K94="変色","55〜60℃",IF(J94="変色","50〜55℃",IF(I94="変色","45〜50℃",IF(H94="変色","40〜45℃","40℃未満"))))))</f>
        <v/>
      </c>
      <c r="N94" s="13" t="n"/>
    </row>
    <row r="95">
      <c r="A95" s="13" t="n"/>
      <c r="B95" s="14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8">
        <f>IF(H95="","",IF(L95="変色","60℃以上",IF(K95="変色","55〜60℃",IF(J95="変色","50〜55℃",IF(I95="変色","45〜50℃",IF(H95="変色","40〜45℃","40℃未満"))))))</f>
        <v/>
      </c>
      <c r="N95" s="13" t="n"/>
    </row>
    <row r="96">
      <c r="A96" s="13" t="n"/>
      <c r="B96" s="14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8">
        <f>IF(H96="","",IF(L96="変色","60℃以上",IF(K96="変色","55〜60℃",IF(J96="変色","50〜55℃",IF(I96="変色","45〜50℃",IF(H96="変色","40〜45℃","40℃未満"))))))</f>
        <v/>
      </c>
      <c r="N96" s="13" t="n"/>
    </row>
    <row r="97">
      <c r="A97" s="13" t="n"/>
      <c r="B97" s="14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8">
        <f>IF(H97="","",IF(L97="変色","60℃以上",IF(K97="変色","55〜60℃",IF(J97="変色","50〜55℃",IF(I97="変色","45〜50℃",IF(H97="変色","40〜45℃","40℃未満"))))))</f>
        <v/>
      </c>
      <c r="N97" s="13" t="n"/>
    </row>
    <row r="98">
      <c r="A98" s="13" t="n"/>
      <c r="B98" s="14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8">
        <f>IF(H98="","",IF(L98="変色","60℃以上",IF(K98="変色","55〜60℃",IF(J98="変色","50〜55℃",IF(I98="変色","45〜50℃",IF(H98="変色","40〜45℃","40℃未満"))))))</f>
        <v/>
      </c>
      <c r="N98" s="13" t="n"/>
    </row>
    <row r="99">
      <c r="A99" s="13" t="n"/>
      <c r="B99" s="14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8">
        <f>IF(H99="","",IF(L99="変色","60℃以上",IF(K99="変色","55〜60℃",IF(J99="変色","50〜55℃",IF(I99="変色","45〜50℃",IF(H99="変色","40〜45℃","40℃未満"))))))</f>
        <v/>
      </c>
      <c r="N99" s="13" t="n"/>
    </row>
    <row r="100">
      <c r="A100" s="13" t="n"/>
      <c r="B100" s="14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8">
        <f>IF(H100="","",IF(L100="変色","60℃以上",IF(K100="変色","55〜60℃",IF(J100="変色","50〜55℃",IF(I100="変色","45〜50℃",IF(H100="変色","40〜45℃","40℃未満"))))))</f>
        <v/>
      </c>
      <c r="N100" s="13" t="n"/>
    </row>
    <row r="101">
      <c r="A101" s="13" t="n"/>
      <c r="B101" s="14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8">
        <f>IF(H101="","",IF(L101="変色","60℃以上",IF(K101="変色","55〜60℃",IF(J101="変色","50〜55℃",IF(I101="変色","45〜50℃",IF(H101="変色","40〜45℃","40℃未満"))))))</f>
        <v/>
      </c>
      <c r="N101" s="13" t="n"/>
    </row>
    <row r="102">
      <c r="A102" s="13" t="n"/>
      <c r="B102" s="14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8">
        <f>IF(H102="","",IF(L102="変色","60℃以上",IF(K102="変色","55〜60℃",IF(J102="変色","50〜55℃",IF(I102="変色","45〜50℃",IF(H102="変色","40〜45℃","40℃未満"))))))</f>
        <v/>
      </c>
      <c r="N102" s="13" t="n"/>
    </row>
    <row r="103">
      <c r="A103" s="13" t="n"/>
      <c r="B103" s="14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8">
        <f>IF(H103="","",IF(L103="変色","60℃以上",IF(K103="変色","55〜60℃",IF(J103="変色","50〜55℃",IF(I103="変色","45〜50℃",IF(H103="変色","40〜45℃","40℃未満"))))))</f>
        <v/>
      </c>
      <c r="N103" s="13" t="n"/>
    </row>
    <row r="104">
      <c r="A104" s="13" t="n"/>
      <c r="B104" s="14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8">
        <f>IF(H104="","",IF(L104="変色","60℃以上",IF(K104="変色","55〜60℃",IF(J104="変色","50〜55℃",IF(I104="変色","45〜50℃",IF(H104="変色","40〜45℃","40℃未満"))))))</f>
        <v/>
      </c>
      <c r="N104" s="13" t="n"/>
    </row>
    <row r="105">
      <c r="A105" s="13" t="n"/>
      <c r="B105" s="14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8">
        <f>IF(H105="","",IF(L105="変色","60℃以上",IF(K105="変色","55〜60℃",IF(J105="変色","50〜55℃",IF(I105="変色","45〜50℃",IF(H105="変色","40〜45℃","40℃未満"))))))</f>
        <v/>
      </c>
      <c r="N105" s="13" t="n"/>
    </row>
    <row r="106">
      <c r="A106" s="13" t="n"/>
      <c r="B106" s="14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8">
        <f>IF(H106="","",IF(L106="変色","60℃以上",IF(K106="変色","55〜60℃",IF(J106="変色","50〜55℃",IF(I106="変色","45〜50℃",IF(H106="変色","40〜45℃","40℃未満"))))))</f>
        <v/>
      </c>
      <c r="N106" s="13" t="n"/>
    </row>
    <row r="107">
      <c r="A107" s="13" t="n"/>
      <c r="B107" s="14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8">
        <f>IF(H107="","",IF(L107="変色","60℃以上",IF(K107="変色","55〜60℃",IF(J107="変色","50〜55℃",IF(I107="変色","45〜50℃",IF(H107="変色","40〜45℃","40℃未満"))))))</f>
        <v/>
      </c>
      <c r="N107" s="13" t="n"/>
    </row>
    <row r="108">
      <c r="A108" s="13" t="n"/>
      <c r="B108" s="14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8">
        <f>IF(H108="","",IF(L108="変色","60℃以上",IF(K108="変色","55〜60℃",IF(J108="変色","50〜55℃",IF(I108="変色","45〜50℃",IF(H108="変色","40〜45℃","40℃未満"))))))</f>
        <v/>
      </c>
      <c r="N108" s="13" t="n"/>
    </row>
    <row r="109">
      <c r="A109" s="13" t="n"/>
      <c r="B109" s="14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8">
        <f>IF(H109="","",IF(L109="変色","60℃以上",IF(K109="変色","55〜60℃",IF(J109="変色","50〜55℃",IF(I109="変色","45〜50℃",IF(H109="変色","40〜45℃","40℃未満"))))))</f>
        <v/>
      </c>
      <c r="N109" s="13" t="n"/>
    </row>
    <row r="110">
      <c r="A110" s="13" t="n"/>
      <c r="B110" s="14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8">
        <f>IF(H110="","",IF(L110="変色","60℃以上",IF(K110="変色","55〜60℃",IF(J110="変色","50〜55℃",IF(I110="変色","45〜50℃",IF(H110="変色","40〜45℃","40℃未満"))))))</f>
        <v/>
      </c>
      <c r="N110" s="13" t="n"/>
    </row>
    <row r="111">
      <c r="A111" s="13" t="n"/>
      <c r="B111" s="14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8">
        <f>IF(H111="","",IF(L111="変色","60℃以上",IF(K111="変色","55〜60℃",IF(J111="変色","50〜55℃",IF(I111="変色","45〜50℃",IF(H111="変色","40〜45℃","40℃未満"))))))</f>
        <v/>
      </c>
      <c r="N111" s="13" t="n"/>
    </row>
    <row r="112">
      <c r="A112" s="13" t="n"/>
      <c r="B112" s="14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8">
        <f>IF(H112="","",IF(L112="変色","60℃以上",IF(K112="変色","55〜60℃",IF(J112="変色","50〜55℃",IF(I112="変色","45〜50℃",IF(H112="変色","40〜45℃","40℃未満"))))))</f>
        <v/>
      </c>
      <c r="N112" s="13" t="n"/>
    </row>
    <row r="113">
      <c r="A113" s="13" t="n"/>
      <c r="B113" s="14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8">
        <f>IF(H113="","",IF(L113="変色","60℃以上",IF(K113="変色","55〜60℃",IF(J113="変色","50〜55℃",IF(I113="変色","45〜50℃",IF(H113="変色","40〜45℃","40℃未満"))))))</f>
        <v/>
      </c>
      <c r="N113" s="13" t="n"/>
    </row>
    <row r="114">
      <c r="A114" s="13" t="n"/>
      <c r="B114" s="14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8">
        <f>IF(H114="","",IF(L114="変色","60℃以上",IF(K114="変色","55〜60℃",IF(J114="変色","50〜55℃",IF(I114="変色","45〜50℃",IF(H114="変色","40〜45℃","40℃未満"))))))</f>
        <v/>
      </c>
      <c r="N114" s="13" t="n"/>
    </row>
    <row r="115">
      <c r="A115" s="13" t="n"/>
      <c r="B115" s="14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8">
        <f>IF(H115="","",IF(L115="変色","60℃以上",IF(K115="変色","55〜60℃",IF(J115="変色","50〜55℃",IF(I115="変色","45〜50℃",IF(H115="変色","40〜45℃","40℃未満"))))))</f>
        <v/>
      </c>
      <c r="N115" s="13" t="n"/>
    </row>
    <row r="116">
      <c r="A116" s="13" t="n"/>
      <c r="B116" s="14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8">
        <f>IF(H116="","",IF(L116="変色","60℃以上",IF(K116="変色","55〜60℃",IF(J116="変色","50〜55℃",IF(I116="変色","45〜50℃",IF(H116="変色","40〜45℃","40℃未満"))))))</f>
        <v/>
      </c>
      <c r="N116" s="13" t="n"/>
    </row>
    <row r="117">
      <c r="A117" s="13" t="n"/>
      <c r="B117" s="14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8">
        <f>IF(H117="","",IF(L117="変色","60℃以上",IF(K117="変色","55〜60℃",IF(J117="変色","50〜55℃",IF(I117="変色","45〜50℃",IF(H117="変色","40〜45℃","40℃未満"))))))</f>
        <v/>
      </c>
      <c r="N117" s="13" t="n"/>
    </row>
    <row r="118">
      <c r="A118" s="13" t="n"/>
      <c r="B118" s="14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8">
        <f>IF(H118="","",IF(L118="変色","60℃以上",IF(K118="変色","55〜60℃",IF(J118="変色","50〜55℃",IF(I118="変色","45〜50℃",IF(H118="変色","40〜45℃","40℃未満"))))))</f>
        <v/>
      </c>
      <c r="N118" s="13" t="n"/>
    </row>
    <row r="119">
      <c r="A119" s="13" t="n"/>
      <c r="B119" s="14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8">
        <f>IF(H119="","",IF(L119="変色","60℃以上",IF(K119="変色","55〜60℃",IF(J119="変色","50〜55℃",IF(I119="変色","45〜50℃",IF(H119="変色","40〜45℃","40℃未満"))))))</f>
        <v/>
      </c>
      <c r="N119" s="13" t="n"/>
    </row>
    <row r="120">
      <c r="A120" s="13" t="n"/>
      <c r="B120" s="14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8">
        <f>IF(H120="","",IF(L120="変色","60℃以上",IF(K120="変色","55〜60℃",IF(J120="変色","50〜55℃",IF(I120="変色","45〜50℃",IF(H120="変色","40〜45℃","40℃未満"))))))</f>
        <v/>
      </c>
      <c r="N120" s="13" t="n"/>
    </row>
    <row r="121">
      <c r="A121" s="13" t="n"/>
      <c r="B121" s="14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8">
        <f>IF(H121="","",IF(L121="変色","60℃以上",IF(K121="変色","55〜60℃",IF(J121="変色","50〜55℃",IF(I121="変色","45〜50℃",IF(H121="変色","40〜45℃","40℃未満"))))))</f>
        <v/>
      </c>
      <c r="N121" s="13" t="n"/>
    </row>
    <row r="122">
      <c r="A122" s="13" t="n"/>
      <c r="B122" s="14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8">
        <f>IF(H122="","",IF(L122="変色","60℃以上",IF(K122="変色","55〜60℃",IF(J122="変色","50〜55℃",IF(I122="変色","45〜50℃",IF(H122="変色","40〜45℃","40℃未満"))))))</f>
        <v/>
      </c>
      <c r="N122" s="13" t="n"/>
    </row>
    <row r="123">
      <c r="A123" s="13" t="n"/>
      <c r="B123" s="14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8">
        <f>IF(H123="","",IF(L123="変色","60℃以上",IF(K123="変色","55〜60℃",IF(J123="変色","50〜55℃",IF(I123="変色","45〜50℃",IF(H123="変色","40〜45℃","40℃未満"))))))</f>
        <v/>
      </c>
      <c r="N123" s="13" t="n"/>
    </row>
    <row r="124">
      <c r="A124" s="13" t="n"/>
      <c r="B124" s="14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8">
        <f>IF(H124="","",IF(L124="変色","60℃以上",IF(K124="変色","55〜60℃",IF(J124="変色","50〜55℃",IF(I124="変色","45〜50℃",IF(H124="変色","40〜45℃","40℃未満"))))))</f>
        <v/>
      </c>
      <c r="N124" s="13" t="n"/>
    </row>
    <row r="125">
      <c r="A125" s="13" t="n"/>
      <c r="B125" s="14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8">
        <f>IF(H125="","",IF(L125="変色","60℃以上",IF(K125="変色","55〜60℃",IF(J125="変色","50〜55℃",IF(I125="変色","45〜50℃",IF(H125="変色","40〜45℃","40℃未満"))))))</f>
        <v/>
      </c>
      <c r="N125" s="13" t="n"/>
    </row>
    <row r="126">
      <c r="A126" s="13" t="n"/>
      <c r="B126" s="14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8">
        <f>IF(H126="","",IF(L126="変色","60℃以上",IF(K126="変色","55〜60℃",IF(J126="変色","50〜55℃",IF(I126="変色","45〜50℃",IF(H126="変色","40〜45℃","40℃未満"))))))</f>
        <v/>
      </c>
      <c r="N126" s="13" t="n"/>
    </row>
    <row r="127">
      <c r="A127" s="13" t="n"/>
      <c r="B127" s="14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8">
        <f>IF(H127="","",IF(L127="変色","60℃以上",IF(K127="変色","55〜60℃",IF(J127="変色","50〜55℃",IF(I127="変色","45〜50℃",IF(H127="変色","40〜45℃","40℃未満"))))))</f>
        <v/>
      </c>
      <c r="N127" s="13" t="n"/>
    </row>
    <row r="128">
      <c r="A128" s="13" t="n"/>
      <c r="B128" s="14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8">
        <f>IF(H128="","",IF(L128="変色","60℃以上",IF(K128="変色","55〜60℃",IF(J128="変色","50〜55℃",IF(I128="変色","45〜50℃",IF(H128="変色","40〜45℃","40℃未満"))))))</f>
        <v/>
      </c>
      <c r="N128" s="13" t="n"/>
    </row>
    <row r="129">
      <c r="A129" s="13" t="n"/>
      <c r="B129" s="14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8">
        <f>IF(H129="","",IF(L129="変色","60℃以上",IF(K129="変色","55〜60℃",IF(J129="変色","50〜55℃",IF(I129="変色","45〜50℃",IF(H129="変色","40〜45℃","40℃未満"))))))</f>
        <v/>
      </c>
      <c r="N129" s="13" t="n"/>
    </row>
    <row r="130">
      <c r="A130" s="13" t="n"/>
      <c r="B130" s="14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8">
        <f>IF(H130="","",IF(L130="変色","60℃以上",IF(K130="変色","55〜60℃",IF(J130="変色","50〜55℃",IF(I130="変色","45〜50℃",IF(H130="変色","40〜45℃","40℃未満"))))))</f>
        <v/>
      </c>
      <c r="N130" s="13" t="n"/>
    </row>
    <row r="131">
      <c r="A131" s="13" t="n"/>
      <c r="B131" s="14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8">
        <f>IF(H131="","",IF(L131="変色","60℃以上",IF(K131="変色","55〜60℃",IF(J131="変色","50〜55℃",IF(I131="変色","45〜50℃",IF(H131="変色","40〜45℃","40℃未満"))))))</f>
        <v/>
      </c>
      <c r="N131" s="13" t="n"/>
    </row>
    <row r="132">
      <c r="A132" s="13" t="n"/>
      <c r="B132" s="14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8">
        <f>IF(H132="","",IF(L132="変色","60℃以上",IF(K132="変色","55〜60℃",IF(J132="変色","50〜55℃",IF(I132="変色","45〜50℃",IF(H132="変色","40〜45℃","40℃未満"))))))</f>
        <v/>
      </c>
      <c r="N132" s="13" t="n"/>
    </row>
    <row r="133">
      <c r="A133" s="13" t="n"/>
      <c r="B133" s="14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8">
        <f>IF(H133="","",IF(L133="変色","60℃以上",IF(K133="変色","55〜60℃",IF(J133="変色","50〜55℃",IF(I133="変色","45〜50℃",IF(H133="変色","40〜45℃","40℃未満"))))))</f>
        <v/>
      </c>
      <c r="N133" s="13" t="n"/>
    </row>
    <row r="134">
      <c r="A134" s="13" t="n"/>
      <c r="B134" s="14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8">
        <f>IF(H134="","",IF(L134="変色","60℃以上",IF(K134="変色","55〜60℃",IF(J134="変色","50〜55℃",IF(I134="変色","45〜50℃",IF(H134="変色","40〜45℃","40℃未満"))))))</f>
        <v/>
      </c>
      <c r="N134" s="13" t="n"/>
    </row>
    <row r="135">
      <c r="A135" s="13" t="n"/>
      <c r="B135" s="14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8">
        <f>IF(H135="","",IF(L135="変色","60℃以上",IF(K135="変色","55〜60℃",IF(J135="変色","50〜55℃",IF(I135="変色","45〜50℃",IF(H135="変色","40〜45℃","40℃未満"))))))</f>
        <v/>
      </c>
      <c r="N135" s="13" t="n"/>
    </row>
    <row r="136">
      <c r="A136" s="13" t="n"/>
      <c r="B136" s="14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8">
        <f>IF(H136="","",IF(L136="変色","60℃以上",IF(K136="変色","55〜60℃",IF(J136="変色","50〜55℃",IF(I136="変色","45〜50℃",IF(H136="変色","40〜45℃","40℃未満"))))))</f>
        <v/>
      </c>
      <c r="N136" s="13" t="n"/>
    </row>
    <row r="137">
      <c r="A137" s="13" t="n"/>
      <c r="B137" s="14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8">
        <f>IF(H137="","",IF(L137="変色","60℃以上",IF(K137="変色","55〜60℃",IF(J137="変色","50〜55℃",IF(I137="変色","45〜50℃",IF(H137="変色","40〜45℃","40℃未満"))))))</f>
        <v/>
      </c>
      <c r="N137" s="13" t="n"/>
    </row>
    <row r="138">
      <c r="A138" s="13" t="n"/>
      <c r="B138" s="14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8">
        <f>IF(H138="","",IF(L138="変色","60℃以上",IF(K138="変色","55〜60℃",IF(J138="変色","50〜55℃",IF(I138="変色","45〜50℃",IF(H138="変色","40〜45℃","40℃未満"))))))</f>
        <v/>
      </c>
      <c r="N138" s="13" t="n"/>
    </row>
    <row r="139">
      <c r="A139" s="13" t="n"/>
      <c r="B139" s="14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8">
        <f>IF(H139="","",IF(L139="変色","60℃以上",IF(K139="変色","55〜60℃",IF(J139="変色","50〜55℃",IF(I139="変色","45〜50℃",IF(H139="変色","40〜45℃","40℃未満"))))))</f>
        <v/>
      </c>
      <c r="N139" s="13" t="n"/>
    </row>
    <row r="140">
      <c r="A140" s="13" t="n"/>
      <c r="B140" s="14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8">
        <f>IF(H140="","",IF(L140="変色","60℃以上",IF(K140="変色","55〜60℃",IF(J140="変色","50〜55℃",IF(I140="変色","45〜50℃",IF(H140="変色","40〜45℃","40℃未満"))))))</f>
        <v/>
      </c>
      <c r="N140" s="13" t="n"/>
    </row>
    <row r="141">
      <c r="A141" s="13" t="n"/>
      <c r="B141" s="14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8">
        <f>IF(H141="","",IF(L141="変色","60℃以上",IF(K141="変色","55〜60℃",IF(J141="変色","50〜55℃",IF(I141="変色","45〜50℃",IF(H141="変色","40〜45℃","40℃未満"))))))</f>
        <v/>
      </c>
      <c r="N141" s="13" t="n"/>
    </row>
    <row r="142">
      <c r="A142" s="13" t="n"/>
      <c r="B142" s="14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8">
        <f>IF(H142="","",IF(L142="変色","60℃以上",IF(K142="変色","55〜60℃",IF(J142="変色","50〜55℃",IF(I142="変色","45〜50℃",IF(H142="変色","40〜45℃","40℃未満"))))))</f>
        <v/>
      </c>
      <c r="N142" s="13" t="n"/>
    </row>
    <row r="143">
      <c r="A143" s="13" t="n"/>
      <c r="B143" s="14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8">
        <f>IF(H143="","",IF(L143="変色","60℃以上",IF(K143="変色","55〜60℃",IF(J143="変色","50〜55℃",IF(I143="変色","45〜50℃",IF(H143="変色","40〜45℃","40℃未満"))))))</f>
        <v/>
      </c>
      <c r="N143" s="13" t="n"/>
    </row>
    <row r="144">
      <c r="A144" s="13" t="n"/>
      <c r="B144" s="14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8">
        <f>IF(H144="","",IF(L144="変色","60℃以上",IF(K144="変色","55〜60℃",IF(J144="変色","50〜55℃",IF(I144="変色","45〜50℃",IF(H144="変色","40〜45℃","40℃未満"))))))</f>
        <v/>
      </c>
      <c r="N144" s="13" t="n"/>
    </row>
    <row r="145">
      <c r="A145" s="13" t="n"/>
      <c r="B145" s="14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8">
        <f>IF(H145="","",IF(L145="変色","60℃以上",IF(K145="変色","55〜60℃",IF(J145="変色","50〜55℃",IF(I145="変色","45〜50℃",IF(H145="変色","40〜45℃","40℃未満"))))))</f>
        <v/>
      </c>
      <c r="N145" s="13" t="n"/>
    </row>
    <row r="146">
      <c r="A146" s="13" t="n"/>
      <c r="B146" s="14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8">
        <f>IF(H146="","",IF(L146="変色","60℃以上",IF(K146="変色","55〜60℃",IF(J146="変色","50〜55℃",IF(I146="変色","45〜50℃",IF(H146="変色","40〜45℃","40℃未満"))))))</f>
        <v/>
      </c>
      <c r="N146" s="13" t="n"/>
    </row>
    <row r="147">
      <c r="A147" s="13" t="n"/>
      <c r="B147" s="14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8">
        <f>IF(H147="","",IF(L147="変色","60℃以上",IF(K147="変色","55〜60℃",IF(J147="変色","50〜55℃",IF(I147="変色","45〜50℃",IF(H147="変色","40〜45℃","40℃未満"))))))</f>
        <v/>
      </c>
      <c r="N147" s="13" t="n"/>
    </row>
    <row r="148">
      <c r="A148" s="13" t="n"/>
      <c r="B148" s="14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8">
        <f>IF(H148="","",IF(L148="変色","60℃以上",IF(K148="変色","55〜60℃",IF(J148="変色","50〜55℃",IF(I148="変色","45〜50℃",IF(H148="変色","40〜45℃","40℃未満"))))))</f>
        <v/>
      </c>
      <c r="N148" s="13" t="n"/>
    </row>
    <row r="149">
      <c r="A149" s="13" t="n"/>
      <c r="B149" s="14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8">
        <f>IF(H149="","",IF(L149="変色","60℃以上",IF(K149="変色","55〜60℃",IF(J149="変色","50〜55℃",IF(I149="変色","45〜50℃",IF(H149="変色","40〜45℃","40℃未満"))))))</f>
        <v/>
      </c>
      <c r="N149" s="13" t="n"/>
    </row>
    <row r="150">
      <c r="A150" s="13" t="n"/>
      <c r="B150" s="14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8">
        <f>IF(H150="","",IF(L150="変色","60℃以上",IF(K150="変色","55〜60℃",IF(J150="変色","50〜55℃",IF(I150="変色","45〜50℃",IF(H150="変色","40〜45℃","40℃未満"))))))</f>
        <v/>
      </c>
      <c r="N150" s="13" t="n"/>
    </row>
    <row r="151">
      <c r="A151" s="13" t="n"/>
      <c r="B151" s="14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8">
        <f>IF(H151="","",IF(L151="変色","60℃以上",IF(K151="変色","55〜60℃",IF(J151="変色","50〜55℃",IF(I151="変色","45〜50℃",IF(H151="変色","40〜45℃","40℃未満"))))))</f>
        <v/>
      </c>
      <c r="N151" s="13" t="n"/>
    </row>
    <row r="153">
      <c r="A153" s="20" t="inlineStr">
        <is>
          <t>不可逆性示温ラベルは冷えても色が戻らないため、ガントリーから出すまでの遅延に影響されず最高到達温度が残る。</t>
        </is>
      </c>
    </row>
    <row r="154">
      <c r="A154" s="20" t="inlineStr">
        <is>
          <t>限界：温度の時間変化は取得できない。ファントムは血流による冷却を再現していないため、生体より高温側に出る（安全側の評価）。</t>
        </is>
      </c>
    </row>
  </sheetData>
  <conditionalFormatting sqref="M2:M151">
    <cfRule type="cellIs" priority="1" operator="notEqual" dxfId="0">
      <formula>"40℃未満"</formula>
    </cfRule>
  </conditionalFormatting>
  <dataValidations count="8">
    <dataValidation sqref="H2:H151" showDropDown="0" showInputMessage="0" showErrorMessage="0" allowBlank="1" errorTitle="入力エラー" error="リストから選んでください" type="list">
      <formula1>"未変色,変色"</formula1>
    </dataValidation>
    <dataValidation sqref="I2:I151" showDropDown="0" showInputMessage="0" showErrorMessage="0" allowBlank="1" errorTitle="入力エラー" error="リストから選んでください" type="list">
      <formula1>"未変色,変色"</formula1>
    </dataValidation>
    <dataValidation sqref="J2:J151" showDropDown="0" showInputMessage="0" showErrorMessage="0" allowBlank="1" errorTitle="入力エラー" error="リストから選んでください" type="list">
      <formula1>"未変色,変色"</formula1>
    </dataValidation>
    <dataValidation sqref="K2:K151" showDropDown="0" showInputMessage="0" showErrorMessage="0" allowBlank="1" errorTitle="入力エラー" error="リストから選んでください" type="list">
      <formula1>"未変色,変色"</formula1>
    </dataValidation>
    <dataValidation sqref="L2:L151" showDropDown="0" showInputMessage="0" showErrorMessage="0" allowBlank="1" errorTitle="入力エラー" error="リストから選んでください" type="list">
      <formula1>"未変色,変色"</formula1>
    </dataValidation>
    <dataValidation sqref="C2:C151" showDropDown="0" showInputMessage="0" showErrorMessage="0" allowBlank="1" errorTitle="入力エラー" error="リストから選んでください" type="list">
      <formula1>"1.5T,3T"</formula1>
    </dataValidation>
    <dataValidation sqref="D2:D151" showDropDown="0" showInputMessage="0" showErrorMessage="0" allowBlank="1" errorTitle="入力エラー" error="リストから選んでください" type="list">
      <formula1>"SE,TSE,GRE,EPI,脂肪抑制"</formula1>
    </dataValidation>
    <dataValidation sqref="G2:G151" showDropDown="0" showInputMessage="0" showErrorMessage="0" allowBlank="1" type="list">
      <formula1>='01_試料マスタ'!$A$2:$A$121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  <col width="13" customWidth="1" min="5" max="5"/>
    <col width="14" customWidth="1" min="6" max="6"/>
    <col width="8" customWidth="1" min="7" max="7"/>
    <col width="22" customWidth="1" min="8" max="8"/>
    <col width="10" customWidth="1" min="9" max="9"/>
    <col width="14" customWidth="1" min="10" max="10"/>
    <col width="13" customWidth="1" min="11" max="11"/>
    <col width="13" customWidth="1" min="12" max="12"/>
    <col width="24" customWidth="1" min="13" max="13"/>
  </cols>
  <sheetData>
    <row r="1" ht="32" customHeight="1">
      <c r="A1" s="9" t="inlineStr">
        <is>
          <t>症例No</t>
        </is>
      </c>
      <c r="B1" s="9" t="inlineStr">
        <is>
          <t>依頼日</t>
        </is>
      </c>
      <c r="C1" s="9" t="inlineStr">
        <is>
          <t>初回予約日</t>
        </is>
      </c>
      <c r="D1" s="9" t="inlineStr">
        <is>
          <t>実施日</t>
        </is>
      </c>
      <c r="E1" s="9" t="inlineStr">
        <is>
          <t>撮影部位</t>
        </is>
      </c>
      <c r="F1" s="9" t="inlineStr">
        <is>
          <t>ネイル種別</t>
        </is>
      </c>
      <c r="G1" s="9" t="inlineStr">
        <is>
          <t>延期</t>
        </is>
      </c>
      <c r="H1" s="9" t="inlineStr">
        <is>
          <t>延期理由</t>
        </is>
      </c>
      <c r="I1" s="9" t="inlineStr">
        <is>
          <t>未受検</t>
        </is>
      </c>
      <c r="J1" s="9" t="inlineStr">
        <is>
          <t>依頼→実施 日数</t>
        </is>
      </c>
      <c r="K1" s="9" t="inlineStr">
        <is>
          <t>延期例の日数</t>
        </is>
      </c>
      <c r="L1" s="9" t="inlineStr">
        <is>
          <t>非延期例の日数</t>
        </is>
      </c>
      <c r="M1" s="9" t="inlineStr">
        <is>
          <t>備考</t>
        </is>
      </c>
    </row>
    <row r="2">
      <c r="A2" s="10" t="inlineStr">
        <is>
          <t>C-001</t>
        </is>
      </c>
      <c r="B2" s="11" t="n">
        <v>46028</v>
      </c>
      <c r="C2" s="11" t="n">
        <v>46035</v>
      </c>
      <c r="D2" s="11" t="n">
        <v>46057</v>
      </c>
      <c r="E2" s="10" t="inlineStr">
        <is>
          <t>頭部</t>
        </is>
      </c>
      <c r="F2" s="10" t="inlineStr">
        <is>
          <t>マグネットネイル</t>
        </is>
      </c>
      <c r="G2" s="10" t="inlineStr">
        <is>
          <t>有</t>
        </is>
      </c>
      <c r="H2" s="10" t="inlineStr">
        <is>
          <t>ネイル除去のため</t>
        </is>
      </c>
      <c r="I2" s="10" t="inlineStr">
        <is>
          <t>非該当</t>
        </is>
      </c>
      <c r="J2" s="28">
        <f>IF(OR(B2="",D2=""),"",D2-B2)</f>
        <v/>
      </c>
      <c r="K2" s="28">
        <f>IF(AND(G2="有",J2&lt;&gt;""),J2,"")</f>
        <v/>
      </c>
      <c r="L2" s="28">
        <f>IF(AND(G2="無",J2&lt;&gt;""),J2,"")</f>
        <v/>
      </c>
      <c r="M2" s="10" t="inlineStr"/>
    </row>
    <row r="3">
      <c r="A3" s="13" t="n"/>
      <c r="B3" s="14" t="n"/>
      <c r="C3" s="14" t="n"/>
      <c r="D3" s="14" t="n"/>
      <c r="E3" s="13" t="n"/>
      <c r="F3" s="13" t="n"/>
      <c r="G3" s="13" t="n"/>
      <c r="H3" s="13" t="n"/>
      <c r="I3" s="13" t="n"/>
      <c r="J3" s="28">
        <f>IF(OR(B3="",D3=""),"",D3-B3)</f>
        <v/>
      </c>
      <c r="K3" s="28">
        <f>IF(AND(G3="有",J3&lt;&gt;""),J3,"")</f>
        <v/>
      </c>
      <c r="L3" s="28">
        <f>IF(AND(G3="無",J3&lt;&gt;""),J3,"")</f>
        <v/>
      </c>
      <c r="M3" s="13" t="n"/>
    </row>
    <row r="4">
      <c r="A4" s="13" t="n"/>
      <c r="B4" s="14" t="n"/>
      <c r="C4" s="14" t="n"/>
      <c r="D4" s="14" t="n"/>
      <c r="E4" s="13" t="n"/>
      <c r="F4" s="13" t="n"/>
      <c r="G4" s="13" t="n"/>
      <c r="H4" s="13" t="n"/>
      <c r="I4" s="13" t="n"/>
      <c r="J4" s="28">
        <f>IF(OR(B4="",D4=""),"",D4-B4)</f>
        <v/>
      </c>
      <c r="K4" s="28">
        <f>IF(AND(G4="有",J4&lt;&gt;""),J4,"")</f>
        <v/>
      </c>
      <c r="L4" s="28">
        <f>IF(AND(G4="無",J4&lt;&gt;""),J4,"")</f>
        <v/>
      </c>
      <c r="M4" s="13" t="n"/>
    </row>
    <row r="5">
      <c r="A5" s="13" t="n"/>
      <c r="B5" s="14" t="n"/>
      <c r="C5" s="14" t="n"/>
      <c r="D5" s="14" t="n"/>
      <c r="E5" s="13" t="n"/>
      <c r="F5" s="13" t="n"/>
      <c r="G5" s="13" t="n"/>
      <c r="H5" s="13" t="n"/>
      <c r="I5" s="13" t="n"/>
      <c r="J5" s="28">
        <f>IF(OR(B5="",D5=""),"",D5-B5)</f>
        <v/>
      </c>
      <c r="K5" s="28">
        <f>IF(AND(G5="有",J5&lt;&gt;""),J5,"")</f>
        <v/>
      </c>
      <c r="L5" s="28">
        <f>IF(AND(G5="無",J5&lt;&gt;""),J5,"")</f>
        <v/>
      </c>
      <c r="M5" s="13" t="n"/>
    </row>
    <row r="6">
      <c r="A6" s="13" t="n"/>
      <c r="B6" s="14" t="n"/>
      <c r="C6" s="14" t="n"/>
      <c r="D6" s="14" t="n"/>
      <c r="E6" s="13" t="n"/>
      <c r="F6" s="13" t="n"/>
      <c r="G6" s="13" t="n"/>
      <c r="H6" s="13" t="n"/>
      <c r="I6" s="13" t="n"/>
      <c r="J6" s="28">
        <f>IF(OR(B6="",D6=""),"",D6-B6)</f>
        <v/>
      </c>
      <c r="K6" s="28">
        <f>IF(AND(G6="有",J6&lt;&gt;""),J6,"")</f>
        <v/>
      </c>
      <c r="L6" s="28">
        <f>IF(AND(G6="無",J6&lt;&gt;""),J6,"")</f>
        <v/>
      </c>
      <c r="M6" s="13" t="n"/>
    </row>
    <row r="7">
      <c r="A7" s="13" t="n"/>
      <c r="B7" s="14" t="n"/>
      <c r="C7" s="14" t="n"/>
      <c r="D7" s="14" t="n"/>
      <c r="E7" s="13" t="n"/>
      <c r="F7" s="13" t="n"/>
      <c r="G7" s="13" t="n"/>
      <c r="H7" s="13" t="n"/>
      <c r="I7" s="13" t="n"/>
      <c r="J7" s="28">
        <f>IF(OR(B7="",D7=""),"",D7-B7)</f>
        <v/>
      </c>
      <c r="K7" s="28">
        <f>IF(AND(G7="有",J7&lt;&gt;""),J7,"")</f>
        <v/>
      </c>
      <c r="L7" s="28">
        <f>IF(AND(G7="無",J7&lt;&gt;""),J7,"")</f>
        <v/>
      </c>
      <c r="M7" s="13" t="n"/>
    </row>
    <row r="8">
      <c r="A8" s="13" t="n"/>
      <c r="B8" s="14" t="n"/>
      <c r="C8" s="14" t="n"/>
      <c r="D8" s="14" t="n"/>
      <c r="E8" s="13" t="n"/>
      <c r="F8" s="13" t="n"/>
      <c r="G8" s="13" t="n"/>
      <c r="H8" s="13" t="n"/>
      <c r="I8" s="13" t="n"/>
      <c r="J8" s="28">
        <f>IF(OR(B8="",D8=""),"",D8-B8)</f>
        <v/>
      </c>
      <c r="K8" s="28">
        <f>IF(AND(G8="有",J8&lt;&gt;""),J8,"")</f>
        <v/>
      </c>
      <c r="L8" s="28">
        <f>IF(AND(G8="無",J8&lt;&gt;""),J8,"")</f>
        <v/>
      </c>
      <c r="M8" s="13" t="n"/>
    </row>
    <row r="9">
      <c r="A9" s="13" t="n"/>
      <c r="B9" s="14" t="n"/>
      <c r="C9" s="14" t="n"/>
      <c r="D9" s="14" t="n"/>
      <c r="E9" s="13" t="n"/>
      <c r="F9" s="13" t="n"/>
      <c r="G9" s="13" t="n"/>
      <c r="H9" s="13" t="n"/>
      <c r="I9" s="13" t="n"/>
      <c r="J9" s="28">
        <f>IF(OR(B9="",D9=""),"",D9-B9)</f>
        <v/>
      </c>
      <c r="K9" s="28">
        <f>IF(AND(G9="有",J9&lt;&gt;""),J9,"")</f>
        <v/>
      </c>
      <c r="L9" s="28">
        <f>IF(AND(G9="無",J9&lt;&gt;""),J9,"")</f>
        <v/>
      </c>
      <c r="M9" s="13" t="n"/>
    </row>
    <row r="10">
      <c r="A10" s="13" t="n"/>
      <c r="B10" s="14" t="n"/>
      <c r="C10" s="14" t="n"/>
      <c r="D10" s="14" t="n"/>
      <c r="E10" s="13" t="n"/>
      <c r="F10" s="13" t="n"/>
      <c r="G10" s="13" t="n"/>
      <c r="H10" s="13" t="n"/>
      <c r="I10" s="13" t="n"/>
      <c r="J10" s="28">
        <f>IF(OR(B10="",D10=""),"",D10-B10)</f>
        <v/>
      </c>
      <c r="K10" s="28">
        <f>IF(AND(G10="有",J10&lt;&gt;""),J10,"")</f>
        <v/>
      </c>
      <c r="L10" s="28">
        <f>IF(AND(G10="無",J10&lt;&gt;""),J10,"")</f>
        <v/>
      </c>
      <c r="M10" s="13" t="n"/>
    </row>
    <row r="11">
      <c r="A11" s="13" t="n"/>
      <c r="B11" s="14" t="n"/>
      <c r="C11" s="14" t="n"/>
      <c r="D11" s="14" t="n"/>
      <c r="E11" s="13" t="n"/>
      <c r="F11" s="13" t="n"/>
      <c r="G11" s="13" t="n"/>
      <c r="H11" s="13" t="n"/>
      <c r="I11" s="13" t="n"/>
      <c r="J11" s="28">
        <f>IF(OR(B11="",D11=""),"",D11-B11)</f>
        <v/>
      </c>
      <c r="K11" s="28">
        <f>IF(AND(G11="有",J11&lt;&gt;""),J11,"")</f>
        <v/>
      </c>
      <c r="L11" s="28">
        <f>IF(AND(G11="無",J11&lt;&gt;""),J11,"")</f>
        <v/>
      </c>
      <c r="M11" s="13" t="n"/>
    </row>
    <row r="12">
      <c r="A12" s="13" t="n"/>
      <c r="B12" s="14" t="n"/>
      <c r="C12" s="14" t="n"/>
      <c r="D12" s="14" t="n"/>
      <c r="E12" s="13" t="n"/>
      <c r="F12" s="13" t="n"/>
      <c r="G12" s="13" t="n"/>
      <c r="H12" s="13" t="n"/>
      <c r="I12" s="13" t="n"/>
      <c r="J12" s="28">
        <f>IF(OR(B12="",D12=""),"",D12-B12)</f>
        <v/>
      </c>
      <c r="K12" s="28">
        <f>IF(AND(G12="有",J12&lt;&gt;""),J12,"")</f>
        <v/>
      </c>
      <c r="L12" s="28">
        <f>IF(AND(G12="無",J12&lt;&gt;""),J12,"")</f>
        <v/>
      </c>
      <c r="M12" s="13" t="n"/>
    </row>
    <row r="13">
      <c r="A13" s="13" t="n"/>
      <c r="B13" s="14" t="n"/>
      <c r="C13" s="14" t="n"/>
      <c r="D13" s="14" t="n"/>
      <c r="E13" s="13" t="n"/>
      <c r="F13" s="13" t="n"/>
      <c r="G13" s="13" t="n"/>
      <c r="H13" s="13" t="n"/>
      <c r="I13" s="13" t="n"/>
      <c r="J13" s="28">
        <f>IF(OR(B13="",D13=""),"",D13-B13)</f>
        <v/>
      </c>
      <c r="K13" s="28">
        <f>IF(AND(G13="有",J13&lt;&gt;""),J13,"")</f>
        <v/>
      </c>
      <c r="L13" s="28">
        <f>IF(AND(G13="無",J13&lt;&gt;""),J13,"")</f>
        <v/>
      </c>
      <c r="M13" s="13" t="n"/>
    </row>
    <row r="14">
      <c r="A14" s="13" t="n"/>
      <c r="B14" s="14" t="n"/>
      <c r="C14" s="14" t="n"/>
      <c r="D14" s="14" t="n"/>
      <c r="E14" s="13" t="n"/>
      <c r="F14" s="13" t="n"/>
      <c r="G14" s="13" t="n"/>
      <c r="H14" s="13" t="n"/>
      <c r="I14" s="13" t="n"/>
      <c r="J14" s="28">
        <f>IF(OR(B14="",D14=""),"",D14-B14)</f>
        <v/>
      </c>
      <c r="K14" s="28">
        <f>IF(AND(G14="有",J14&lt;&gt;""),J14,"")</f>
        <v/>
      </c>
      <c r="L14" s="28">
        <f>IF(AND(G14="無",J14&lt;&gt;""),J14,"")</f>
        <v/>
      </c>
      <c r="M14" s="13" t="n"/>
    </row>
    <row r="15">
      <c r="A15" s="13" t="n"/>
      <c r="B15" s="14" t="n"/>
      <c r="C15" s="14" t="n"/>
      <c r="D15" s="14" t="n"/>
      <c r="E15" s="13" t="n"/>
      <c r="F15" s="13" t="n"/>
      <c r="G15" s="13" t="n"/>
      <c r="H15" s="13" t="n"/>
      <c r="I15" s="13" t="n"/>
      <c r="J15" s="28">
        <f>IF(OR(B15="",D15=""),"",D15-B15)</f>
        <v/>
      </c>
      <c r="K15" s="28">
        <f>IF(AND(G15="有",J15&lt;&gt;""),J15,"")</f>
        <v/>
      </c>
      <c r="L15" s="28">
        <f>IF(AND(G15="無",J15&lt;&gt;""),J15,"")</f>
        <v/>
      </c>
      <c r="M15" s="13" t="n"/>
    </row>
    <row r="16">
      <c r="A16" s="13" t="n"/>
      <c r="B16" s="14" t="n"/>
      <c r="C16" s="14" t="n"/>
      <c r="D16" s="14" t="n"/>
      <c r="E16" s="13" t="n"/>
      <c r="F16" s="13" t="n"/>
      <c r="G16" s="13" t="n"/>
      <c r="H16" s="13" t="n"/>
      <c r="I16" s="13" t="n"/>
      <c r="J16" s="28">
        <f>IF(OR(B16="",D16=""),"",D16-B16)</f>
        <v/>
      </c>
      <c r="K16" s="28">
        <f>IF(AND(G16="有",J16&lt;&gt;""),J16,"")</f>
        <v/>
      </c>
      <c r="L16" s="28">
        <f>IF(AND(G16="無",J16&lt;&gt;""),J16,"")</f>
        <v/>
      </c>
      <c r="M16" s="13" t="n"/>
    </row>
    <row r="17">
      <c r="A17" s="13" t="n"/>
      <c r="B17" s="14" t="n"/>
      <c r="C17" s="14" t="n"/>
      <c r="D17" s="14" t="n"/>
      <c r="E17" s="13" t="n"/>
      <c r="F17" s="13" t="n"/>
      <c r="G17" s="13" t="n"/>
      <c r="H17" s="13" t="n"/>
      <c r="I17" s="13" t="n"/>
      <c r="J17" s="28">
        <f>IF(OR(B17="",D17=""),"",D17-B17)</f>
        <v/>
      </c>
      <c r="K17" s="28">
        <f>IF(AND(G17="有",J17&lt;&gt;""),J17,"")</f>
        <v/>
      </c>
      <c r="L17" s="28">
        <f>IF(AND(G17="無",J17&lt;&gt;""),J17,"")</f>
        <v/>
      </c>
      <c r="M17" s="13" t="n"/>
    </row>
    <row r="18">
      <c r="A18" s="13" t="n"/>
      <c r="B18" s="14" t="n"/>
      <c r="C18" s="14" t="n"/>
      <c r="D18" s="14" t="n"/>
      <c r="E18" s="13" t="n"/>
      <c r="F18" s="13" t="n"/>
      <c r="G18" s="13" t="n"/>
      <c r="H18" s="13" t="n"/>
      <c r="I18" s="13" t="n"/>
      <c r="J18" s="28">
        <f>IF(OR(B18="",D18=""),"",D18-B18)</f>
        <v/>
      </c>
      <c r="K18" s="28">
        <f>IF(AND(G18="有",J18&lt;&gt;""),J18,"")</f>
        <v/>
      </c>
      <c r="L18" s="28">
        <f>IF(AND(G18="無",J18&lt;&gt;""),J18,"")</f>
        <v/>
      </c>
      <c r="M18" s="13" t="n"/>
    </row>
    <row r="19">
      <c r="A19" s="13" t="n"/>
      <c r="B19" s="14" t="n"/>
      <c r="C19" s="14" t="n"/>
      <c r="D19" s="14" t="n"/>
      <c r="E19" s="13" t="n"/>
      <c r="F19" s="13" t="n"/>
      <c r="G19" s="13" t="n"/>
      <c r="H19" s="13" t="n"/>
      <c r="I19" s="13" t="n"/>
      <c r="J19" s="28">
        <f>IF(OR(B19="",D19=""),"",D19-B19)</f>
        <v/>
      </c>
      <c r="K19" s="28">
        <f>IF(AND(G19="有",J19&lt;&gt;""),J19,"")</f>
        <v/>
      </c>
      <c r="L19" s="28">
        <f>IF(AND(G19="無",J19&lt;&gt;""),J19,"")</f>
        <v/>
      </c>
      <c r="M19" s="13" t="n"/>
    </row>
    <row r="20">
      <c r="A20" s="13" t="n"/>
      <c r="B20" s="14" t="n"/>
      <c r="C20" s="14" t="n"/>
      <c r="D20" s="14" t="n"/>
      <c r="E20" s="13" t="n"/>
      <c r="F20" s="13" t="n"/>
      <c r="G20" s="13" t="n"/>
      <c r="H20" s="13" t="n"/>
      <c r="I20" s="13" t="n"/>
      <c r="J20" s="28">
        <f>IF(OR(B20="",D20=""),"",D20-B20)</f>
        <v/>
      </c>
      <c r="K20" s="28">
        <f>IF(AND(G20="有",J20&lt;&gt;""),J20,"")</f>
        <v/>
      </c>
      <c r="L20" s="28">
        <f>IF(AND(G20="無",J20&lt;&gt;""),J20,"")</f>
        <v/>
      </c>
      <c r="M20" s="13" t="n"/>
    </row>
    <row r="21">
      <c r="A21" s="13" t="n"/>
      <c r="B21" s="14" t="n"/>
      <c r="C21" s="14" t="n"/>
      <c r="D21" s="14" t="n"/>
      <c r="E21" s="13" t="n"/>
      <c r="F21" s="13" t="n"/>
      <c r="G21" s="13" t="n"/>
      <c r="H21" s="13" t="n"/>
      <c r="I21" s="13" t="n"/>
      <c r="J21" s="28">
        <f>IF(OR(B21="",D21=""),"",D21-B21)</f>
        <v/>
      </c>
      <c r="K21" s="28">
        <f>IF(AND(G21="有",J21&lt;&gt;""),J21,"")</f>
        <v/>
      </c>
      <c r="L21" s="28">
        <f>IF(AND(G21="無",J21&lt;&gt;""),J21,"")</f>
        <v/>
      </c>
      <c r="M21" s="13" t="n"/>
    </row>
    <row r="22">
      <c r="A22" s="13" t="n"/>
      <c r="B22" s="14" t="n"/>
      <c r="C22" s="14" t="n"/>
      <c r="D22" s="14" t="n"/>
      <c r="E22" s="13" t="n"/>
      <c r="F22" s="13" t="n"/>
      <c r="G22" s="13" t="n"/>
      <c r="H22" s="13" t="n"/>
      <c r="I22" s="13" t="n"/>
      <c r="J22" s="28">
        <f>IF(OR(B22="",D22=""),"",D22-B22)</f>
        <v/>
      </c>
      <c r="K22" s="28">
        <f>IF(AND(G22="有",J22&lt;&gt;""),J22,"")</f>
        <v/>
      </c>
      <c r="L22" s="28">
        <f>IF(AND(G22="無",J22&lt;&gt;""),J22,"")</f>
        <v/>
      </c>
      <c r="M22" s="13" t="n"/>
    </row>
    <row r="23">
      <c r="A23" s="13" t="n"/>
      <c r="B23" s="14" t="n"/>
      <c r="C23" s="14" t="n"/>
      <c r="D23" s="14" t="n"/>
      <c r="E23" s="13" t="n"/>
      <c r="F23" s="13" t="n"/>
      <c r="G23" s="13" t="n"/>
      <c r="H23" s="13" t="n"/>
      <c r="I23" s="13" t="n"/>
      <c r="J23" s="28">
        <f>IF(OR(B23="",D23=""),"",D23-B23)</f>
        <v/>
      </c>
      <c r="K23" s="28">
        <f>IF(AND(G23="有",J23&lt;&gt;""),J23,"")</f>
        <v/>
      </c>
      <c r="L23" s="28">
        <f>IF(AND(G23="無",J23&lt;&gt;""),J23,"")</f>
        <v/>
      </c>
      <c r="M23" s="13" t="n"/>
    </row>
    <row r="24">
      <c r="A24" s="13" t="n"/>
      <c r="B24" s="14" t="n"/>
      <c r="C24" s="14" t="n"/>
      <c r="D24" s="14" t="n"/>
      <c r="E24" s="13" t="n"/>
      <c r="F24" s="13" t="n"/>
      <c r="G24" s="13" t="n"/>
      <c r="H24" s="13" t="n"/>
      <c r="I24" s="13" t="n"/>
      <c r="J24" s="28">
        <f>IF(OR(B24="",D24=""),"",D24-B24)</f>
        <v/>
      </c>
      <c r="K24" s="28">
        <f>IF(AND(G24="有",J24&lt;&gt;""),J24,"")</f>
        <v/>
      </c>
      <c r="L24" s="28">
        <f>IF(AND(G24="無",J24&lt;&gt;""),J24,"")</f>
        <v/>
      </c>
      <c r="M24" s="13" t="n"/>
    </row>
    <row r="25">
      <c r="A25" s="13" t="n"/>
      <c r="B25" s="14" t="n"/>
      <c r="C25" s="14" t="n"/>
      <c r="D25" s="14" t="n"/>
      <c r="E25" s="13" t="n"/>
      <c r="F25" s="13" t="n"/>
      <c r="G25" s="13" t="n"/>
      <c r="H25" s="13" t="n"/>
      <c r="I25" s="13" t="n"/>
      <c r="J25" s="28">
        <f>IF(OR(B25="",D25=""),"",D25-B25)</f>
        <v/>
      </c>
      <c r="K25" s="28">
        <f>IF(AND(G25="有",J25&lt;&gt;""),J25,"")</f>
        <v/>
      </c>
      <c r="L25" s="28">
        <f>IF(AND(G25="無",J25&lt;&gt;""),J25,"")</f>
        <v/>
      </c>
      <c r="M25" s="13" t="n"/>
    </row>
    <row r="26">
      <c r="A26" s="13" t="n"/>
      <c r="B26" s="14" t="n"/>
      <c r="C26" s="14" t="n"/>
      <c r="D26" s="14" t="n"/>
      <c r="E26" s="13" t="n"/>
      <c r="F26" s="13" t="n"/>
      <c r="G26" s="13" t="n"/>
      <c r="H26" s="13" t="n"/>
      <c r="I26" s="13" t="n"/>
      <c r="J26" s="28">
        <f>IF(OR(B26="",D26=""),"",D26-B26)</f>
        <v/>
      </c>
      <c r="K26" s="28">
        <f>IF(AND(G26="有",J26&lt;&gt;""),J26,"")</f>
        <v/>
      </c>
      <c r="L26" s="28">
        <f>IF(AND(G26="無",J26&lt;&gt;""),J26,"")</f>
        <v/>
      </c>
      <c r="M26" s="13" t="n"/>
    </row>
    <row r="27">
      <c r="A27" s="13" t="n"/>
      <c r="B27" s="14" t="n"/>
      <c r="C27" s="14" t="n"/>
      <c r="D27" s="14" t="n"/>
      <c r="E27" s="13" t="n"/>
      <c r="F27" s="13" t="n"/>
      <c r="G27" s="13" t="n"/>
      <c r="H27" s="13" t="n"/>
      <c r="I27" s="13" t="n"/>
      <c r="J27" s="28">
        <f>IF(OR(B27="",D27=""),"",D27-B27)</f>
        <v/>
      </c>
      <c r="K27" s="28">
        <f>IF(AND(G27="有",J27&lt;&gt;""),J27,"")</f>
        <v/>
      </c>
      <c r="L27" s="28">
        <f>IF(AND(G27="無",J27&lt;&gt;""),J27,"")</f>
        <v/>
      </c>
      <c r="M27" s="13" t="n"/>
    </row>
    <row r="28">
      <c r="A28" s="13" t="n"/>
      <c r="B28" s="14" t="n"/>
      <c r="C28" s="14" t="n"/>
      <c r="D28" s="14" t="n"/>
      <c r="E28" s="13" t="n"/>
      <c r="F28" s="13" t="n"/>
      <c r="G28" s="13" t="n"/>
      <c r="H28" s="13" t="n"/>
      <c r="I28" s="13" t="n"/>
      <c r="J28" s="28">
        <f>IF(OR(B28="",D28=""),"",D28-B28)</f>
        <v/>
      </c>
      <c r="K28" s="28">
        <f>IF(AND(G28="有",J28&lt;&gt;""),J28,"")</f>
        <v/>
      </c>
      <c r="L28" s="28">
        <f>IF(AND(G28="無",J28&lt;&gt;""),J28,"")</f>
        <v/>
      </c>
      <c r="M28" s="13" t="n"/>
    </row>
    <row r="29">
      <c r="A29" s="13" t="n"/>
      <c r="B29" s="14" t="n"/>
      <c r="C29" s="14" t="n"/>
      <c r="D29" s="14" t="n"/>
      <c r="E29" s="13" t="n"/>
      <c r="F29" s="13" t="n"/>
      <c r="G29" s="13" t="n"/>
      <c r="H29" s="13" t="n"/>
      <c r="I29" s="13" t="n"/>
      <c r="J29" s="28">
        <f>IF(OR(B29="",D29=""),"",D29-B29)</f>
        <v/>
      </c>
      <c r="K29" s="28">
        <f>IF(AND(G29="有",J29&lt;&gt;""),J29,"")</f>
        <v/>
      </c>
      <c r="L29" s="28">
        <f>IF(AND(G29="無",J29&lt;&gt;""),J29,"")</f>
        <v/>
      </c>
      <c r="M29" s="13" t="n"/>
    </row>
    <row r="30">
      <c r="A30" s="13" t="n"/>
      <c r="B30" s="14" t="n"/>
      <c r="C30" s="14" t="n"/>
      <c r="D30" s="14" t="n"/>
      <c r="E30" s="13" t="n"/>
      <c r="F30" s="13" t="n"/>
      <c r="G30" s="13" t="n"/>
      <c r="H30" s="13" t="n"/>
      <c r="I30" s="13" t="n"/>
      <c r="J30" s="28">
        <f>IF(OR(B30="",D30=""),"",D30-B30)</f>
        <v/>
      </c>
      <c r="K30" s="28">
        <f>IF(AND(G30="有",J30&lt;&gt;""),J30,"")</f>
        <v/>
      </c>
      <c r="L30" s="28">
        <f>IF(AND(G30="無",J30&lt;&gt;""),J30,"")</f>
        <v/>
      </c>
      <c r="M30" s="13" t="n"/>
    </row>
    <row r="31">
      <c r="A31" s="13" t="n"/>
      <c r="B31" s="14" t="n"/>
      <c r="C31" s="14" t="n"/>
      <c r="D31" s="14" t="n"/>
      <c r="E31" s="13" t="n"/>
      <c r="F31" s="13" t="n"/>
      <c r="G31" s="13" t="n"/>
      <c r="H31" s="13" t="n"/>
      <c r="I31" s="13" t="n"/>
      <c r="J31" s="28">
        <f>IF(OR(B31="",D31=""),"",D31-B31)</f>
        <v/>
      </c>
      <c r="K31" s="28">
        <f>IF(AND(G31="有",J31&lt;&gt;""),J31,"")</f>
        <v/>
      </c>
      <c r="L31" s="28">
        <f>IF(AND(G31="無",J31&lt;&gt;""),J31,"")</f>
        <v/>
      </c>
      <c r="M31" s="13" t="n"/>
    </row>
    <row r="32">
      <c r="A32" s="13" t="n"/>
      <c r="B32" s="14" t="n"/>
      <c r="C32" s="14" t="n"/>
      <c r="D32" s="14" t="n"/>
      <c r="E32" s="13" t="n"/>
      <c r="F32" s="13" t="n"/>
      <c r="G32" s="13" t="n"/>
      <c r="H32" s="13" t="n"/>
      <c r="I32" s="13" t="n"/>
      <c r="J32" s="28">
        <f>IF(OR(B32="",D32=""),"",D32-B32)</f>
        <v/>
      </c>
      <c r="K32" s="28">
        <f>IF(AND(G32="有",J32&lt;&gt;""),J32,"")</f>
        <v/>
      </c>
      <c r="L32" s="28">
        <f>IF(AND(G32="無",J32&lt;&gt;""),J32,"")</f>
        <v/>
      </c>
      <c r="M32" s="13" t="n"/>
    </row>
    <row r="33">
      <c r="A33" s="13" t="n"/>
      <c r="B33" s="14" t="n"/>
      <c r="C33" s="14" t="n"/>
      <c r="D33" s="14" t="n"/>
      <c r="E33" s="13" t="n"/>
      <c r="F33" s="13" t="n"/>
      <c r="G33" s="13" t="n"/>
      <c r="H33" s="13" t="n"/>
      <c r="I33" s="13" t="n"/>
      <c r="J33" s="28">
        <f>IF(OR(B33="",D33=""),"",D33-B33)</f>
        <v/>
      </c>
      <c r="K33" s="28">
        <f>IF(AND(G33="有",J33&lt;&gt;""),J33,"")</f>
        <v/>
      </c>
      <c r="L33" s="28">
        <f>IF(AND(G33="無",J33&lt;&gt;""),J33,"")</f>
        <v/>
      </c>
      <c r="M33" s="13" t="n"/>
    </row>
    <row r="34">
      <c r="A34" s="13" t="n"/>
      <c r="B34" s="14" t="n"/>
      <c r="C34" s="14" t="n"/>
      <c r="D34" s="14" t="n"/>
      <c r="E34" s="13" t="n"/>
      <c r="F34" s="13" t="n"/>
      <c r="G34" s="13" t="n"/>
      <c r="H34" s="13" t="n"/>
      <c r="I34" s="13" t="n"/>
      <c r="J34" s="28">
        <f>IF(OR(B34="",D34=""),"",D34-B34)</f>
        <v/>
      </c>
      <c r="K34" s="28">
        <f>IF(AND(G34="有",J34&lt;&gt;""),J34,"")</f>
        <v/>
      </c>
      <c r="L34" s="28">
        <f>IF(AND(G34="無",J34&lt;&gt;""),J34,"")</f>
        <v/>
      </c>
      <c r="M34" s="13" t="n"/>
    </row>
    <row r="35">
      <c r="A35" s="13" t="n"/>
      <c r="B35" s="14" t="n"/>
      <c r="C35" s="14" t="n"/>
      <c r="D35" s="14" t="n"/>
      <c r="E35" s="13" t="n"/>
      <c r="F35" s="13" t="n"/>
      <c r="G35" s="13" t="n"/>
      <c r="H35" s="13" t="n"/>
      <c r="I35" s="13" t="n"/>
      <c r="J35" s="28">
        <f>IF(OR(B35="",D35=""),"",D35-B35)</f>
        <v/>
      </c>
      <c r="K35" s="28">
        <f>IF(AND(G35="有",J35&lt;&gt;""),J35,"")</f>
        <v/>
      </c>
      <c r="L35" s="28">
        <f>IF(AND(G35="無",J35&lt;&gt;""),J35,"")</f>
        <v/>
      </c>
      <c r="M35" s="13" t="n"/>
    </row>
    <row r="36">
      <c r="A36" s="13" t="n"/>
      <c r="B36" s="14" t="n"/>
      <c r="C36" s="14" t="n"/>
      <c r="D36" s="14" t="n"/>
      <c r="E36" s="13" t="n"/>
      <c r="F36" s="13" t="n"/>
      <c r="G36" s="13" t="n"/>
      <c r="H36" s="13" t="n"/>
      <c r="I36" s="13" t="n"/>
      <c r="J36" s="28">
        <f>IF(OR(B36="",D36=""),"",D36-B36)</f>
        <v/>
      </c>
      <c r="K36" s="28">
        <f>IF(AND(G36="有",J36&lt;&gt;""),J36,"")</f>
        <v/>
      </c>
      <c r="L36" s="28">
        <f>IF(AND(G36="無",J36&lt;&gt;""),J36,"")</f>
        <v/>
      </c>
      <c r="M36" s="13" t="n"/>
    </row>
    <row r="37">
      <c r="A37" s="13" t="n"/>
      <c r="B37" s="14" t="n"/>
      <c r="C37" s="14" t="n"/>
      <c r="D37" s="14" t="n"/>
      <c r="E37" s="13" t="n"/>
      <c r="F37" s="13" t="n"/>
      <c r="G37" s="13" t="n"/>
      <c r="H37" s="13" t="n"/>
      <c r="I37" s="13" t="n"/>
      <c r="J37" s="28">
        <f>IF(OR(B37="",D37=""),"",D37-B37)</f>
        <v/>
      </c>
      <c r="K37" s="28">
        <f>IF(AND(G37="有",J37&lt;&gt;""),J37,"")</f>
        <v/>
      </c>
      <c r="L37" s="28">
        <f>IF(AND(G37="無",J37&lt;&gt;""),J37,"")</f>
        <v/>
      </c>
      <c r="M37" s="13" t="n"/>
    </row>
    <row r="38">
      <c r="A38" s="13" t="n"/>
      <c r="B38" s="14" t="n"/>
      <c r="C38" s="14" t="n"/>
      <c r="D38" s="14" t="n"/>
      <c r="E38" s="13" t="n"/>
      <c r="F38" s="13" t="n"/>
      <c r="G38" s="13" t="n"/>
      <c r="H38" s="13" t="n"/>
      <c r="I38" s="13" t="n"/>
      <c r="J38" s="28">
        <f>IF(OR(B38="",D38=""),"",D38-B38)</f>
        <v/>
      </c>
      <c r="K38" s="28">
        <f>IF(AND(G38="有",J38&lt;&gt;""),J38,"")</f>
        <v/>
      </c>
      <c r="L38" s="28">
        <f>IF(AND(G38="無",J38&lt;&gt;""),J38,"")</f>
        <v/>
      </c>
      <c r="M38" s="13" t="n"/>
    </row>
    <row r="39">
      <c r="A39" s="13" t="n"/>
      <c r="B39" s="14" t="n"/>
      <c r="C39" s="14" t="n"/>
      <c r="D39" s="14" t="n"/>
      <c r="E39" s="13" t="n"/>
      <c r="F39" s="13" t="n"/>
      <c r="G39" s="13" t="n"/>
      <c r="H39" s="13" t="n"/>
      <c r="I39" s="13" t="n"/>
      <c r="J39" s="28">
        <f>IF(OR(B39="",D39=""),"",D39-B39)</f>
        <v/>
      </c>
      <c r="K39" s="28">
        <f>IF(AND(G39="有",J39&lt;&gt;""),J39,"")</f>
        <v/>
      </c>
      <c r="L39" s="28">
        <f>IF(AND(G39="無",J39&lt;&gt;""),J39,"")</f>
        <v/>
      </c>
      <c r="M39" s="13" t="n"/>
    </row>
    <row r="40">
      <c r="A40" s="13" t="n"/>
      <c r="B40" s="14" t="n"/>
      <c r="C40" s="14" t="n"/>
      <c r="D40" s="14" t="n"/>
      <c r="E40" s="13" t="n"/>
      <c r="F40" s="13" t="n"/>
      <c r="G40" s="13" t="n"/>
      <c r="H40" s="13" t="n"/>
      <c r="I40" s="13" t="n"/>
      <c r="J40" s="28">
        <f>IF(OR(B40="",D40=""),"",D40-B40)</f>
        <v/>
      </c>
      <c r="K40" s="28">
        <f>IF(AND(G40="有",J40&lt;&gt;""),J40,"")</f>
        <v/>
      </c>
      <c r="L40" s="28">
        <f>IF(AND(G40="無",J40&lt;&gt;""),J40,"")</f>
        <v/>
      </c>
      <c r="M40" s="13" t="n"/>
    </row>
    <row r="41">
      <c r="A41" s="13" t="n"/>
      <c r="B41" s="14" t="n"/>
      <c r="C41" s="14" t="n"/>
      <c r="D41" s="14" t="n"/>
      <c r="E41" s="13" t="n"/>
      <c r="F41" s="13" t="n"/>
      <c r="G41" s="13" t="n"/>
      <c r="H41" s="13" t="n"/>
      <c r="I41" s="13" t="n"/>
      <c r="J41" s="28">
        <f>IF(OR(B41="",D41=""),"",D41-B41)</f>
        <v/>
      </c>
      <c r="K41" s="28">
        <f>IF(AND(G41="有",J41&lt;&gt;""),J41,"")</f>
        <v/>
      </c>
      <c r="L41" s="28">
        <f>IF(AND(G41="無",J41&lt;&gt;""),J41,"")</f>
        <v/>
      </c>
      <c r="M41" s="13" t="n"/>
    </row>
    <row r="42">
      <c r="A42" s="13" t="n"/>
      <c r="B42" s="14" t="n"/>
      <c r="C42" s="14" t="n"/>
      <c r="D42" s="14" t="n"/>
      <c r="E42" s="13" t="n"/>
      <c r="F42" s="13" t="n"/>
      <c r="G42" s="13" t="n"/>
      <c r="H42" s="13" t="n"/>
      <c r="I42" s="13" t="n"/>
      <c r="J42" s="28">
        <f>IF(OR(B42="",D42=""),"",D42-B42)</f>
        <v/>
      </c>
      <c r="K42" s="28">
        <f>IF(AND(G42="有",J42&lt;&gt;""),J42,"")</f>
        <v/>
      </c>
      <c r="L42" s="28">
        <f>IF(AND(G42="無",J42&lt;&gt;""),J42,"")</f>
        <v/>
      </c>
      <c r="M42" s="13" t="n"/>
    </row>
    <row r="43">
      <c r="A43" s="13" t="n"/>
      <c r="B43" s="14" t="n"/>
      <c r="C43" s="14" t="n"/>
      <c r="D43" s="14" t="n"/>
      <c r="E43" s="13" t="n"/>
      <c r="F43" s="13" t="n"/>
      <c r="G43" s="13" t="n"/>
      <c r="H43" s="13" t="n"/>
      <c r="I43" s="13" t="n"/>
      <c r="J43" s="28">
        <f>IF(OR(B43="",D43=""),"",D43-B43)</f>
        <v/>
      </c>
      <c r="K43" s="28">
        <f>IF(AND(G43="有",J43&lt;&gt;""),J43,"")</f>
        <v/>
      </c>
      <c r="L43" s="28">
        <f>IF(AND(G43="無",J43&lt;&gt;""),J43,"")</f>
        <v/>
      </c>
      <c r="M43" s="13" t="n"/>
    </row>
    <row r="44">
      <c r="A44" s="13" t="n"/>
      <c r="B44" s="14" t="n"/>
      <c r="C44" s="14" t="n"/>
      <c r="D44" s="14" t="n"/>
      <c r="E44" s="13" t="n"/>
      <c r="F44" s="13" t="n"/>
      <c r="G44" s="13" t="n"/>
      <c r="H44" s="13" t="n"/>
      <c r="I44" s="13" t="n"/>
      <c r="J44" s="28">
        <f>IF(OR(B44="",D44=""),"",D44-B44)</f>
        <v/>
      </c>
      <c r="K44" s="28">
        <f>IF(AND(G44="有",J44&lt;&gt;""),J44,"")</f>
        <v/>
      </c>
      <c r="L44" s="28">
        <f>IF(AND(G44="無",J44&lt;&gt;""),J44,"")</f>
        <v/>
      </c>
      <c r="M44" s="13" t="n"/>
    </row>
    <row r="45">
      <c r="A45" s="13" t="n"/>
      <c r="B45" s="14" t="n"/>
      <c r="C45" s="14" t="n"/>
      <c r="D45" s="14" t="n"/>
      <c r="E45" s="13" t="n"/>
      <c r="F45" s="13" t="n"/>
      <c r="G45" s="13" t="n"/>
      <c r="H45" s="13" t="n"/>
      <c r="I45" s="13" t="n"/>
      <c r="J45" s="28">
        <f>IF(OR(B45="",D45=""),"",D45-B45)</f>
        <v/>
      </c>
      <c r="K45" s="28">
        <f>IF(AND(G45="有",J45&lt;&gt;""),J45,"")</f>
        <v/>
      </c>
      <c r="L45" s="28">
        <f>IF(AND(G45="無",J45&lt;&gt;""),J45,"")</f>
        <v/>
      </c>
      <c r="M45" s="13" t="n"/>
    </row>
    <row r="46">
      <c r="A46" s="13" t="n"/>
      <c r="B46" s="14" t="n"/>
      <c r="C46" s="14" t="n"/>
      <c r="D46" s="14" t="n"/>
      <c r="E46" s="13" t="n"/>
      <c r="F46" s="13" t="n"/>
      <c r="G46" s="13" t="n"/>
      <c r="H46" s="13" t="n"/>
      <c r="I46" s="13" t="n"/>
      <c r="J46" s="28">
        <f>IF(OR(B46="",D46=""),"",D46-B46)</f>
        <v/>
      </c>
      <c r="K46" s="28">
        <f>IF(AND(G46="有",J46&lt;&gt;""),J46,"")</f>
        <v/>
      </c>
      <c r="L46" s="28">
        <f>IF(AND(G46="無",J46&lt;&gt;""),J46,"")</f>
        <v/>
      </c>
      <c r="M46" s="13" t="n"/>
    </row>
    <row r="47">
      <c r="A47" s="13" t="n"/>
      <c r="B47" s="14" t="n"/>
      <c r="C47" s="14" t="n"/>
      <c r="D47" s="14" t="n"/>
      <c r="E47" s="13" t="n"/>
      <c r="F47" s="13" t="n"/>
      <c r="G47" s="13" t="n"/>
      <c r="H47" s="13" t="n"/>
      <c r="I47" s="13" t="n"/>
      <c r="J47" s="28">
        <f>IF(OR(B47="",D47=""),"",D47-B47)</f>
        <v/>
      </c>
      <c r="K47" s="28">
        <f>IF(AND(G47="有",J47&lt;&gt;""),J47,"")</f>
        <v/>
      </c>
      <c r="L47" s="28">
        <f>IF(AND(G47="無",J47&lt;&gt;""),J47,"")</f>
        <v/>
      </c>
      <c r="M47" s="13" t="n"/>
    </row>
    <row r="48">
      <c r="A48" s="13" t="n"/>
      <c r="B48" s="14" t="n"/>
      <c r="C48" s="14" t="n"/>
      <c r="D48" s="14" t="n"/>
      <c r="E48" s="13" t="n"/>
      <c r="F48" s="13" t="n"/>
      <c r="G48" s="13" t="n"/>
      <c r="H48" s="13" t="n"/>
      <c r="I48" s="13" t="n"/>
      <c r="J48" s="28">
        <f>IF(OR(B48="",D48=""),"",D48-B48)</f>
        <v/>
      </c>
      <c r="K48" s="28">
        <f>IF(AND(G48="有",J48&lt;&gt;""),J48,"")</f>
        <v/>
      </c>
      <c r="L48" s="28">
        <f>IF(AND(G48="無",J48&lt;&gt;""),J48,"")</f>
        <v/>
      </c>
      <c r="M48" s="13" t="n"/>
    </row>
    <row r="49">
      <c r="A49" s="13" t="n"/>
      <c r="B49" s="14" t="n"/>
      <c r="C49" s="14" t="n"/>
      <c r="D49" s="14" t="n"/>
      <c r="E49" s="13" t="n"/>
      <c r="F49" s="13" t="n"/>
      <c r="G49" s="13" t="n"/>
      <c r="H49" s="13" t="n"/>
      <c r="I49" s="13" t="n"/>
      <c r="J49" s="28">
        <f>IF(OR(B49="",D49=""),"",D49-B49)</f>
        <v/>
      </c>
      <c r="K49" s="28">
        <f>IF(AND(G49="有",J49&lt;&gt;""),J49,"")</f>
        <v/>
      </c>
      <c r="L49" s="28">
        <f>IF(AND(G49="無",J49&lt;&gt;""),J49,"")</f>
        <v/>
      </c>
      <c r="M49" s="13" t="n"/>
    </row>
    <row r="50">
      <c r="A50" s="13" t="n"/>
      <c r="B50" s="14" t="n"/>
      <c r="C50" s="14" t="n"/>
      <c r="D50" s="14" t="n"/>
      <c r="E50" s="13" t="n"/>
      <c r="F50" s="13" t="n"/>
      <c r="G50" s="13" t="n"/>
      <c r="H50" s="13" t="n"/>
      <c r="I50" s="13" t="n"/>
      <c r="J50" s="28">
        <f>IF(OR(B50="",D50=""),"",D50-B50)</f>
        <v/>
      </c>
      <c r="K50" s="28">
        <f>IF(AND(G50="有",J50&lt;&gt;""),J50,"")</f>
        <v/>
      </c>
      <c r="L50" s="28">
        <f>IF(AND(G50="無",J50&lt;&gt;""),J50,"")</f>
        <v/>
      </c>
      <c r="M50" s="13" t="n"/>
    </row>
    <row r="51">
      <c r="A51" s="13" t="n"/>
      <c r="B51" s="14" t="n"/>
      <c r="C51" s="14" t="n"/>
      <c r="D51" s="14" t="n"/>
      <c r="E51" s="13" t="n"/>
      <c r="F51" s="13" t="n"/>
      <c r="G51" s="13" t="n"/>
      <c r="H51" s="13" t="n"/>
      <c r="I51" s="13" t="n"/>
      <c r="J51" s="28">
        <f>IF(OR(B51="",D51=""),"",D51-B51)</f>
        <v/>
      </c>
      <c r="K51" s="28">
        <f>IF(AND(G51="有",J51&lt;&gt;""),J51,"")</f>
        <v/>
      </c>
      <c r="L51" s="28">
        <f>IF(AND(G51="無",J51&lt;&gt;""),J51,"")</f>
        <v/>
      </c>
      <c r="M51" s="13" t="n"/>
    </row>
    <row r="52">
      <c r="A52" s="13" t="n"/>
      <c r="B52" s="14" t="n"/>
      <c r="C52" s="14" t="n"/>
      <c r="D52" s="14" t="n"/>
      <c r="E52" s="13" t="n"/>
      <c r="F52" s="13" t="n"/>
      <c r="G52" s="13" t="n"/>
      <c r="H52" s="13" t="n"/>
      <c r="I52" s="13" t="n"/>
      <c r="J52" s="28">
        <f>IF(OR(B52="",D52=""),"",D52-B52)</f>
        <v/>
      </c>
      <c r="K52" s="28">
        <f>IF(AND(G52="有",J52&lt;&gt;""),J52,"")</f>
        <v/>
      </c>
      <c r="L52" s="28">
        <f>IF(AND(G52="無",J52&lt;&gt;""),J52,"")</f>
        <v/>
      </c>
      <c r="M52" s="13" t="n"/>
    </row>
    <row r="53">
      <c r="A53" s="13" t="n"/>
      <c r="B53" s="14" t="n"/>
      <c r="C53" s="14" t="n"/>
      <c r="D53" s="14" t="n"/>
      <c r="E53" s="13" t="n"/>
      <c r="F53" s="13" t="n"/>
      <c r="G53" s="13" t="n"/>
      <c r="H53" s="13" t="n"/>
      <c r="I53" s="13" t="n"/>
      <c r="J53" s="28">
        <f>IF(OR(B53="",D53=""),"",D53-B53)</f>
        <v/>
      </c>
      <c r="K53" s="28">
        <f>IF(AND(G53="有",J53&lt;&gt;""),J53,"")</f>
        <v/>
      </c>
      <c r="L53" s="28">
        <f>IF(AND(G53="無",J53&lt;&gt;""),J53,"")</f>
        <v/>
      </c>
      <c r="M53" s="13" t="n"/>
    </row>
    <row r="54">
      <c r="A54" s="13" t="n"/>
      <c r="B54" s="14" t="n"/>
      <c r="C54" s="14" t="n"/>
      <c r="D54" s="14" t="n"/>
      <c r="E54" s="13" t="n"/>
      <c r="F54" s="13" t="n"/>
      <c r="G54" s="13" t="n"/>
      <c r="H54" s="13" t="n"/>
      <c r="I54" s="13" t="n"/>
      <c r="J54" s="28">
        <f>IF(OR(B54="",D54=""),"",D54-B54)</f>
        <v/>
      </c>
      <c r="K54" s="28">
        <f>IF(AND(G54="有",J54&lt;&gt;""),J54,"")</f>
        <v/>
      </c>
      <c r="L54" s="28">
        <f>IF(AND(G54="無",J54&lt;&gt;""),J54,"")</f>
        <v/>
      </c>
      <c r="M54" s="13" t="n"/>
    </row>
    <row r="55">
      <c r="A55" s="13" t="n"/>
      <c r="B55" s="14" t="n"/>
      <c r="C55" s="14" t="n"/>
      <c r="D55" s="14" t="n"/>
      <c r="E55" s="13" t="n"/>
      <c r="F55" s="13" t="n"/>
      <c r="G55" s="13" t="n"/>
      <c r="H55" s="13" t="n"/>
      <c r="I55" s="13" t="n"/>
      <c r="J55" s="28">
        <f>IF(OR(B55="",D55=""),"",D55-B55)</f>
        <v/>
      </c>
      <c r="K55" s="28">
        <f>IF(AND(G55="有",J55&lt;&gt;""),J55,"")</f>
        <v/>
      </c>
      <c r="L55" s="28">
        <f>IF(AND(G55="無",J55&lt;&gt;""),J55,"")</f>
        <v/>
      </c>
      <c r="M55" s="13" t="n"/>
    </row>
    <row r="56">
      <c r="A56" s="13" t="n"/>
      <c r="B56" s="14" t="n"/>
      <c r="C56" s="14" t="n"/>
      <c r="D56" s="14" t="n"/>
      <c r="E56" s="13" t="n"/>
      <c r="F56" s="13" t="n"/>
      <c r="G56" s="13" t="n"/>
      <c r="H56" s="13" t="n"/>
      <c r="I56" s="13" t="n"/>
      <c r="J56" s="28">
        <f>IF(OR(B56="",D56=""),"",D56-B56)</f>
        <v/>
      </c>
      <c r="K56" s="28">
        <f>IF(AND(G56="有",J56&lt;&gt;""),J56,"")</f>
        <v/>
      </c>
      <c r="L56" s="28">
        <f>IF(AND(G56="無",J56&lt;&gt;""),J56,"")</f>
        <v/>
      </c>
      <c r="M56" s="13" t="n"/>
    </row>
    <row r="57">
      <c r="A57" s="13" t="n"/>
      <c r="B57" s="14" t="n"/>
      <c r="C57" s="14" t="n"/>
      <c r="D57" s="14" t="n"/>
      <c r="E57" s="13" t="n"/>
      <c r="F57" s="13" t="n"/>
      <c r="G57" s="13" t="n"/>
      <c r="H57" s="13" t="n"/>
      <c r="I57" s="13" t="n"/>
      <c r="J57" s="28">
        <f>IF(OR(B57="",D57=""),"",D57-B57)</f>
        <v/>
      </c>
      <c r="K57" s="28">
        <f>IF(AND(G57="有",J57&lt;&gt;""),J57,"")</f>
        <v/>
      </c>
      <c r="L57" s="28">
        <f>IF(AND(G57="無",J57&lt;&gt;""),J57,"")</f>
        <v/>
      </c>
      <c r="M57" s="13" t="n"/>
    </row>
    <row r="58">
      <c r="A58" s="13" t="n"/>
      <c r="B58" s="14" t="n"/>
      <c r="C58" s="14" t="n"/>
      <c r="D58" s="14" t="n"/>
      <c r="E58" s="13" t="n"/>
      <c r="F58" s="13" t="n"/>
      <c r="G58" s="13" t="n"/>
      <c r="H58" s="13" t="n"/>
      <c r="I58" s="13" t="n"/>
      <c r="J58" s="28">
        <f>IF(OR(B58="",D58=""),"",D58-B58)</f>
        <v/>
      </c>
      <c r="K58" s="28">
        <f>IF(AND(G58="有",J58&lt;&gt;""),J58,"")</f>
        <v/>
      </c>
      <c r="L58" s="28">
        <f>IF(AND(G58="無",J58&lt;&gt;""),J58,"")</f>
        <v/>
      </c>
      <c r="M58" s="13" t="n"/>
    </row>
    <row r="59">
      <c r="A59" s="13" t="n"/>
      <c r="B59" s="14" t="n"/>
      <c r="C59" s="14" t="n"/>
      <c r="D59" s="14" t="n"/>
      <c r="E59" s="13" t="n"/>
      <c r="F59" s="13" t="n"/>
      <c r="G59" s="13" t="n"/>
      <c r="H59" s="13" t="n"/>
      <c r="I59" s="13" t="n"/>
      <c r="J59" s="28">
        <f>IF(OR(B59="",D59=""),"",D59-B59)</f>
        <v/>
      </c>
      <c r="K59" s="28">
        <f>IF(AND(G59="有",J59&lt;&gt;""),J59,"")</f>
        <v/>
      </c>
      <c r="L59" s="28">
        <f>IF(AND(G59="無",J59&lt;&gt;""),J59,"")</f>
        <v/>
      </c>
      <c r="M59" s="13" t="n"/>
    </row>
    <row r="60">
      <c r="A60" s="13" t="n"/>
      <c r="B60" s="14" t="n"/>
      <c r="C60" s="14" t="n"/>
      <c r="D60" s="14" t="n"/>
      <c r="E60" s="13" t="n"/>
      <c r="F60" s="13" t="n"/>
      <c r="G60" s="13" t="n"/>
      <c r="H60" s="13" t="n"/>
      <c r="I60" s="13" t="n"/>
      <c r="J60" s="28">
        <f>IF(OR(B60="",D60=""),"",D60-B60)</f>
        <v/>
      </c>
      <c r="K60" s="28">
        <f>IF(AND(G60="有",J60&lt;&gt;""),J60,"")</f>
        <v/>
      </c>
      <c r="L60" s="28">
        <f>IF(AND(G60="無",J60&lt;&gt;""),J60,"")</f>
        <v/>
      </c>
      <c r="M60" s="13" t="n"/>
    </row>
    <row r="61">
      <c r="A61" s="13" t="n"/>
      <c r="B61" s="14" t="n"/>
      <c r="C61" s="14" t="n"/>
      <c r="D61" s="14" t="n"/>
      <c r="E61" s="13" t="n"/>
      <c r="F61" s="13" t="n"/>
      <c r="G61" s="13" t="n"/>
      <c r="H61" s="13" t="n"/>
      <c r="I61" s="13" t="n"/>
      <c r="J61" s="28">
        <f>IF(OR(B61="",D61=""),"",D61-B61)</f>
        <v/>
      </c>
      <c r="K61" s="28">
        <f>IF(AND(G61="有",J61&lt;&gt;""),J61,"")</f>
        <v/>
      </c>
      <c r="L61" s="28">
        <f>IF(AND(G61="無",J61&lt;&gt;""),J61,"")</f>
        <v/>
      </c>
      <c r="M61" s="13" t="n"/>
    </row>
    <row r="62">
      <c r="A62" s="13" t="n"/>
      <c r="B62" s="14" t="n"/>
      <c r="C62" s="14" t="n"/>
      <c r="D62" s="14" t="n"/>
      <c r="E62" s="13" t="n"/>
      <c r="F62" s="13" t="n"/>
      <c r="G62" s="13" t="n"/>
      <c r="H62" s="13" t="n"/>
      <c r="I62" s="13" t="n"/>
      <c r="J62" s="28">
        <f>IF(OR(B62="",D62=""),"",D62-B62)</f>
        <v/>
      </c>
      <c r="K62" s="28">
        <f>IF(AND(G62="有",J62&lt;&gt;""),J62,"")</f>
        <v/>
      </c>
      <c r="L62" s="28">
        <f>IF(AND(G62="無",J62&lt;&gt;""),J62,"")</f>
        <v/>
      </c>
      <c r="M62" s="13" t="n"/>
    </row>
    <row r="63">
      <c r="A63" s="13" t="n"/>
      <c r="B63" s="14" t="n"/>
      <c r="C63" s="14" t="n"/>
      <c r="D63" s="14" t="n"/>
      <c r="E63" s="13" t="n"/>
      <c r="F63" s="13" t="n"/>
      <c r="G63" s="13" t="n"/>
      <c r="H63" s="13" t="n"/>
      <c r="I63" s="13" t="n"/>
      <c r="J63" s="28">
        <f>IF(OR(B63="",D63=""),"",D63-B63)</f>
        <v/>
      </c>
      <c r="K63" s="28">
        <f>IF(AND(G63="有",J63&lt;&gt;""),J63,"")</f>
        <v/>
      </c>
      <c r="L63" s="28">
        <f>IF(AND(G63="無",J63&lt;&gt;""),J63,"")</f>
        <v/>
      </c>
      <c r="M63" s="13" t="n"/>
    </row>
    <row r="64">
      <c r="A64" s="13" t="n"/>
      <c r="B64" s="14" t="n"/>
      <c r="C64" s="14" t="n"/>
      <c r="D64" s="14" t="n"/>
      <c r="E64" s="13" t="n"/>
      <c r="F64" s="13" t="n"/>
      <c r="G64" s="13" t="n"/>
      <c r="H64" s="13" t="n"/>
      <c r="I64" s="13" t="n"/>
      <c r="J64" s="28">
        <f>IF(OR(B64="",D64=""),"",D64-B64)</f>
        <v/>
      </c>
      <c r="K64" s="28">
        <f>IF(AND(G64="有",J64&lt;&gt;""),J64,"")</f>
        <v/>
      </c>
      <c r="L64" s="28">
        <f>IF(AND(G64="無",J64&lt;&gt;""),J64,"")</f>
        <v/>
      </c>
      <c r="M64" s="13" t="n"/>
    </row>
    <row r="65">
      <c r="A65" s="13" t="n"/>
      <c r="B65" s="14" t="n"/>
      <c r="C65" s="14" t="n"/>
      <c r="D65" s="14" t="n"/>
      <c r="E65" s="13" t="n"/>
      <c r="F65" s="13" t="n"/>
      <c r="G65" s="13" t="n"/>
      <c r="H65" s="13" t="n"/>
      <c r="I65" s="13" t="n"/>
      <c r="J65" s="28">
        <f>IF(OR(B65="",D65=""),"",D65-B65)</f>
        <v/>
      </c>
      <c r="K65" s="28">
        <f>IF(AND(G65="有",J65&lt;&gt;""),J65,"")</f>
        <v/>
      </c>
      <c r="L65" s="28">
        <f>IF(AND(G65="無",J65&lt;&gt;""),J65,"")</f>
        <v/>
      </c>
      <c r="M65" s="13" t="n"/>
    </row>
    <row r="66">
      <c r="A66" s="13" t="n"/>
      <c r="B66" s="14" t="n"/>
      <c r="C66" s="14" t="n"/>
      <c r="D66" s="14" t="n"/>
      <c r="E66" s="13" t="n"/>
      <c r="F66" s="13" t="n"/>
      <c r="G66" s="13" t="n"/>
      <c r="H66" s="13" t="n"/>
      <c r="I66" s="13" t="n"/>
      <c r="J66" s="28">
        <f>IF(OR(B66="",D66=""),"",D66-B66)</f>
        <v/>
      </c>
      <c r="K66" s="28">
        <f>IF(AND(G66="有",J66&lt;&gt;""),J66,"")</f>
        <v/>
      </c>
      <c r="L66" s="28">
        <f>IF(AND(G66="無",J66&lt;&gt;""),J66,"")</f>
        <v/>
      </c>
      <c r="M66" s="13" t="n"/>
    </row>
    <row r="67">
      <c r="A67" s="13" t="n"/>
      <c r="B67" s="14" t="n"/>
      <c r="C67" s="14" t="n"/>
      <c r="D67" s="14" t="n"/>
      <c r="E67" s="13" t="n"/>
      <c r="F67" s="13" t="n"/>
      <c r="G67" s="13" t="n"/>
      <c r="H67" s="13" t="n"/>
      <c r="I67" s="13" t="n"/>
      <c r="J67" s="28">
        <f>IF(OR(B67="",D67=""),"",D67-B67)</f>
        <v/>
      </c>
      <c r="K67" s="28">
        <f>IF(AND(G67="有",J67&lt;&gt;""),J67,"")</f>
        <v/>
      </c>
      <c r="L67" s="28">
        <f>IF(AND(G67="無",J67&lt;&gt;""),J67,"")</f>
        <v/>
      </c>
      <c r="M67" s="13" t="n"/>
    </row>
    <row r="68">
      <c r="A68" s="13" t="n"/>
      <c r="B68" s="14" t="n"/>
      <c r="C68" s="14" t="n"/>
      <c r="D68" s="14" t="n"/>
      <c r="E68" s="13" t="n"/>
      <c r="F68" s="13" t="n"/>
      <c r="G68" s="13" t="n"/>
      <c r="H68" s="13" t="n"/>
      <c r="I68" s="13" t="n"/>
      <c r="J68" s="28">
        <f>IF(OR(B68="",D68=""),"",D68-B68)</f>
        <v/>
      </c>
      <c r="K68" s="28">
        <f>IF(AND(G68="有",J68&lt;&gt;""),J68,"")</f>
        <v/>
      </c>
      <c r="L68" s="28">
        <f>IF(AND(G68="無",J68&lt;&gt;""),J68,"")</f>
        <v/>
      </c>
      <c r="M68" s="13" t="n"/>
    </row>
    <row r="69">
      <c r="A69" s="13" t="n"/>
      <c r="B69" s="14" t="n"/>
      <c r="C69" s="14" t="n"/>
      <c r="D69" s="14" t="n"/>
      <c r="E69" s="13" t="n"/>
      <c r="F69" s="13" t="n"/>
      <c r="G69" s="13" t="n"/>
      <c r="H69" s="13" t="n"/>
      <c r="I69" s="13" t="n"/>
      <c r="J69" s="28">
        <f>IF(OR(B69="",D69=""),"",D69-B69)</f>
        <v/>
      </c>
      <c r="K69" s="28">
        <f>IF(AND(G69="有",J69&lt;&gt;""),J69,"")</f>
        <v/>
      </c>
      <c r="L69" s="28">
        <f>IF(AND(G69="無",J69&lt;&gt;""),J69,"")</f>
        <v/>
      </c>
      <c r="M69" s="13" t="n"/>
    </row>
    <row r="70">
      <c r="A70" s="13" t="n"/>
      <c r="B70" s="14" t="n"/>
      <c r="C70" s="14" t="n"/>
      <c r="D70" s="14" t="n"/>
      <c r="E70" s="13" t="n"/>
      <c r="F70" s="13" t="n"/>
      <c r="G70" s="13" t="n"/>
      <c r="H70" s="13" t="n"/>
      <c r="I70" s="13" t="n"/>
      <c r="J70" s="28">
        <f>IF(OR(B70="",D70=""),"",D70-B70)</f>
        <v/>
      </c>
      <c r="K70" s="28">
        <f>IF(AND(G70="有",J70&lt;&gt;""),J70,"")</f>
        <v/>
      </c>
      <c r="L70" s="28">
        <f>IF(AND(G70="無",J70&lt;&gt;""),J70,"")</f>
        <v/>
      </c>
      <c r="M70" s="13" t="n"/>
    </row>
    <row r="71">
      <c r="A71" s="13" t="n"/>
      <c r="B71" s="14" t="n"/>
      <c r="C71" s="14" t="n"/>
      <c r="D71" s="14" t="n"/>
      <c r="E71" s="13" t="n"/>
      <c r="F71" s="13" t="n"/>
      <c r="G71" s="13" t="n"/>
      <c r="H71" s="13" t="n"/>
      <c r="I71" s="13" t="n"/>
      <c r="J71" s="28">
        <f>IF(OR(B71="",D71=""),"",D71-B71)</f>
        <v/>
      </c>
      <c r="K71" s="28">
        <f>IF(AND(G71="有",J71&lt;&gt;""),J71,"")</f>
        <v/>
      </c>
      <c r="L71" s="28">
        <f>IF(AND(G71="無",J71&lt;&gt;""),J71,"")</f>
        <v/>
      </c>
      <c r="M71" s="13" t="n"/>
    </row>
    <row r="72">
      <c r="A72" s="13" t="n"/>
      <c r="B72" s="14" t="n"/>
      <c r="C72" s="14" t="n"/>
      <c r="D72" s="14" t="n"/>
      <c r="E72" s="13" t="n"/>
      <c r="F72" s="13" t="n"/>
      <c r="G72" s="13" t="n"/>
      <c r="H72" s="13" t="n"/>
      <c r="I72" s="13" t="n"/>
      <c r="J72" s="28">
        <f>IF(OR(B72="",D72=""),"",D72-B72)</f>
        <v/>
      </c>
      <c r="K72" s="28">
        <f>IF(AND(G72="有",J72&lt;&gt;""),J72,"")</f>
        <v/>
      </c>
      <c r="L72" s="28">
        <f>IF(AND(G72="無",J72&lt;&gt;""),J72,"")</f>
        <v/>
      </c>
      <c r="M72" s="13" t="n"/>
    </row>
    <row r="73">
      <c r="A73" s="13" t="n"/>
      <c r="B73" s="14" t="n"/>
      <c r="C73" s="14" t="n"/>
      <c r="D73" s="14" t="n"/>
      <c r="E73" s="13" t="n"/>
      <c r="F73" s="13" t="n"/>
      <c r="G73" s="13" t="n"/>
      <c r="H73" s="13" t="n"/>
      <c r="I73" s="13" t="n"/>
      <c r="J73" s="28">
        <f>IF(OR(B73="",D73=""),"",D73-B73)</f>
        <v/>
      </c>
      <c r="K73" s="28">
        <f>IF(AND(G73="有",J73&lt;&gt;""),J73,"")</f>
        <v/>
      </c>
      <c r="L73" s="28">
        <f>IF(AND(G73="無",J73&lt;&gt;""),J73,"")</f>
        <v/>
      </c>
      <c r="M73" s="13" t="n"/>
    </row>
    <row r="74">
      <c r="A74" s="13" t="n"/>
      <c r="B74" s="14" t="n"/>
      <c r="C74" s="14" t="n"/>
      <c r="D74" s="14" t="n"/>
      <c r="E74" s="13" t="n"/>
      <c r="F74" s="13" t="n"/>
      <c r="G74" s="13" t="n"/>
      <c r="H74" s="13" t="n"/>
      <c r="I74" s="13" t="n"/>
      <c r="J74" s="28">
        <f>IF(OR(B74="",D74=""),"",D74-B74)</f>
        <v/>
      </c>
      <c r="K74" s="28">
        <f>IF(AND(G74="有",J74&lt;&gt;""),J74,"")</f>
        <v/>
      </c>
      <c r="L74" s="28">
        <f>IF(AND(G74="無",J74&lt;&gt;""),J74,"")</f>
        <v/>
      </c>
      <c r="M74" s="13" t="n"/>
    </row>
    <row r="75">
      <c r="A75" s="13" t="n"/>
      <c r="B75" s="14" t="n"/>
      <c r="C75" s="14" t="n"/>
      <c r="D75" s="14" t="n"/>
      <c r="E75" s="13" t="n"/>
      <c r="F75" s="13" t="n"/>
      <c r="G75" s="13" t="n"/>
      <c r="H75" s="13" t="n"/>
      <c r="I75" s="13" t="n"/>
      <c r="J75" s="28">
        <f>IF(OR(B75="",D75=""),"",D75-B75)</f>
        <v/>
      </c>
      <c r="K75" s="28">
        <f>IF(AND(G75="有",J75&lt;&gt;""),J75,"")</f>
        <v/>
      </c>
      <c r="L75" s="28">
        <f>IF(AND(G75="無",J75&lt;&gt;""),J75,"")</f>
        <v/>
      </c>
      <c r="M75" s="13" t="n"/>
    </row>
    <row r="76">
      <c r="A76" s="13" t="n"/>
      <c r="B76" s="14" t="n"/>
      <c r="C76" s="14" t="n"/>
      <c r="D76" s="14" t="n"/>
      <c r="E76" s="13" t="n"/>
      <c r="F76" s="13" t="n"/>
      <c r="G76" s="13" t="n"/>
      <c r="H76" s="13" t="n"/>
      <c r="I76" s="13" t="n"/>
      <c r="J76" s="28">
        <f>IF(OR(B76="",D76=""),"",D76-B76)</f>
        <v/>
      </c>
      <c r="K76" s="28">
        <f>IF(AND(G76="有",J76&lt;&gt;""),J76,"")</f>
        <v/>
      </c>
      <c r="L76" s="28">
        <f>IF(AND(G76="無",J76&lt;&gt;""),J76,"")</f>
        <v/>
      </c>
      <c r="M76" s="13" t="n"/>
    </row>
    <row r="77">
      <c r="A77" s="13" t="n"/>
      <c r="B77" s="14" t="n"/>
      <c r="C77" s="14" t="n"/>
      <c r="D77" s="14" t="n"/>
      <c r="E77" s="13" t="n"/>
      <c r="F77" s="13" t="n"/>
      <c r="G77" s="13" t="n"/>
      <c r="H77" s="13" t="n"/>
      <c r="I77" s="13" t="n"/>
      <c r="J77" s="28">
        <f>IF(OR(B77="",D77=""),"",D77-B77)</f>
        <v/>
      </c>
      <c r="K77" s="28">
        <f>IF(AND(G77="有",J77&lt;&gt;""),J77,"")</f>
        <v/>
      </c>
      <c r="L77" s="28">
        <f>IF(AND(G77="無",J77&lt;&gt;""),J77,"")</f>
        <v/>
      </c>
      <c r="M77" s="13" t="n"/>
    </row>
    <row r="78">
      <c r="A78" s="13" t="n"/>
      <c r="B78" s="14" t="n"/>
      <c r="C78" s="14" t="n"/>
      <c r="D78" s="14" t="n"/>
      <c r="E78" s="13" t="n"/>
      <c r="F78" s="13" t="n"/>
      <c r="G78" s="13" t="n"/>
      <c r="H78" s="13" t="n"/>
      <c r="I78" s="13" t="n"/>
      <c r="J78" s="28">
        <f>IF(OR(B78="",D78=""),"",D78-B78)</f>
        <v/>
      </c>
      <c r="K78" s="28">
        <f>IF(AND(G78="有",J78&lt;&gt;""),J78,"")</f>
        <v/>
      </c>
      <c r="L78" s="28">
        <f>IF(AND(G78="無",J78&lt;&gt;""),J78,"")</f>
        <v/>
      </c>
      <c r="M78" s="13" t="n"/>
    </row>
    <row r="79">
      <c r="A79" s="13" t="n"/>
      <c r="B79" s="14" t="n"/>
      <c r="C79" s="14" t="n"/>
      <c r="D79" s="14" t="n"/>
      <c r="E79" s="13" t="n"/>
      <c r="F79" s="13" t="n"/>
      <c r="G79" s="13" t="n"/>
      <c r="H79" s="13" t="n"/>
      <c r="I79" s="13" t="n"/>
      <c r="J79" s="28">
        <f>IF(OR(B79="",D79=""),"",D79-B79)</f>
        <v/>
      </c>
      <c r="K79" s="28">
        <f>IF(AND(G79="有",J79&lt;&gt;""),J79,"")</f>
        <v/>
      </c>
      <c r="L79" s="28">
        <f>IF(AND(G79="無",J79&lt;&gt;""),J79,"")</f>
        <v/>
      </c>
      <c r="M79" s="13" t="n"/>
    </row>
    <row r="80">
      <c r="A80" s="13" t="n"/>
      <c r="B80" s="14" t="n"/>
      <c r="C80" s="14" t="n"/>
      <c r="D80" s="14" t="n"/>
      <c r="E80" s="13" t="n"/>
      <c r="F80" s="13" t="n"/>
      <c r="G80" s="13" t="n"/>
      <c r="H80" s="13" t="n"/>
      <c r="I80" s="13" t="n"/>
      <c r="J80" s="28">
        <f>IF(OR(B80="",D80=""),"",D80-B80)</f>
        <v/>
      </c>
      <c r="K80" s="28">
        <f>IF(AND(G80="有",J80&lt;&gt;""),J80,"")</f>
        <v/>
      </c>
      <c r="L80" s="28">
        <f>IF(AND(G80="無",J80&lt;&gt;""),J80,"")</f>
        <v/>
      </c>
      <c r="M80" s="13" t="n"/>
    </row>
    <row r="81">
      <c r="A81" s="13" t="n"/>
      <c r="B81" s="14" t="n"/>
      <c r="C81" s="14" t="n"/>
      <c r="D81" s="14" t="n"/>
      <c r="E81" s="13" t="n"/>
      <c r="F81" s="13" t="n"/>
      <c r="G81" s="13" t="n"/>
      <c r="H81" s="13" t="n"/>
      <c r="I81" s="13" t="n"/>
      <c r="J81" s="28">
        <f>IF(OR(B81="",D81=""),"",D81-B81)</f>
        <v/>
      </c>
      <c r="K81" s="28">
        <f>IF(AND(G81="有",J81&lt;&gt;""),J81,"")</f>
        <v/>
      </c>
      <c r="L81" s="28">
        <f>IF(AND(G81="無",J81&lt;&gt;""),J81,"")</f>
        <v/>
      </c>
      <c r="M81" s="13" t="n"/>
    </row>
    <row r="82">
      <c r="A82" s="13" t="n"/>
      <c r="B82" s="14" t="n"/>
      <c r="C82" s="14" t="n"/>
      <c r="D82" s="14" t="n"/>
      <c r="E82" s="13" t="n"/>
      <c r="F82" s="13" t="n"/>
      <c r="G82" s="13" t="n"/>
      <c r="H82" s="13" t="n"/>
      <c r="I82" s="13" t="n"/>
      <c r="J82" s="28">
        <f>IF(OR(B82="",D82=""),"",D82-B82)</f>
        <v/>
      </c>
      <c r="K82" s="28">
        <f>IF(AND(G82="有",J82&lt;&gt;""),J82,"")</f>
        <v/>
      </c>
      <c r="L82" s="28">
        <f>IF(AND(G82="無",J82&lt;&gt;""),J82,"")</f>
        <v/>
      </c>
      <c r="M82" s="13" t="n"/>
    </row>
    <row r="83">
      <c r="A83" s="13" t="n"/>
      <c r="B83" s="14" t="n"/>
      <c r="C83" s="14" t="n"/>
      <c r="D83" s="14" t="n"/>
      <c r="E83" s="13" t="n"/>
      <c r="F83" s="13" t="n"/>
      <c r="G83" s="13" t="n"/>
      <c r="H83" s="13" t="n"/>
      <c r="I83" s="13" t="n"/>
      <c r="J83" s="28">
        <f>IF(OR(B83="",D83=""),"",D83-B83)</f>
        <v/>
      </c>
      <c r="K83" s="28">
        <f>IF(AND(G83="有",J83&lt;&gt;""),J83,"")</f>
        <v/>
      </c>
      <c r="L83" s="28">
        <f>IF(AND(G83="無",J83&lt;&gt;""),J83,"")</f>
        <v/>
      </c>
      <c r="M83" s="13" t="n"/>
    </row>
    <row r="84">
      <c r="A84" s="13" t="n"/>
      <c r="B84" s="14" t="n"/>
      <c r="C84" s="14" t="n"/>
      <c r="D84" s="14" t="n"/>
      <c r="E84" s="13" t="n"/>
      <c r="F84" s="13" t="n"/>
      <c r="G84" s="13" t="n"/>
      <c r="H84" s="13" t="n"/>
      <c r="I84" s="13" t="n"/>
      <c r="J84" s="28">
        <f>IF(OR(B84="",D84=""),"",D84-B84)</f>
        <v/>
      </c>
      <c r="K84" s="28">
        <f>IF(AND(G84="有",J84&lt;&gt;""),J84,"")</f>
        <v/>
      </c>
      <c r="L84" s="28">
        <f>IF(AND(G84="無",J84&lt;&gt;""),J84,"")</f>
        <v/>
      </c>
      <c r="M84" s="13" t="n"/>
    </row>
    <row r="85">
      <c r="A85" s="13" t="n"/>
      <c r="B85" s="14" t="n"/>
      <c r="C85" s="14" t="n"/>
      <c r="D85" s="14" t="n"/>
      <c r="E85" s="13" t="n"/>
      <c r="F85" s="13" t="n"/>
      <c r="G85" s="13" t="n"/>
      <c r="H85" s="13" t="n"/>
      <c r="I85" s="13" t="n"/>
      <c r="J85" s="28">
        <f>IF(OR(B85="",D85=""),"",D85-B85)</f>
        <v/>
      </c>
      <c r="K85" s="28">
        <f>IF(AND(G85="有",J85&lt;&gt;""),J85,"")</f>
        <v/>
      </c>
      <c r="L85" s="28">
        <f>IF(AND(G85="無",J85&lt;&gt;""),J85,"")</f>
        <v/>
      </c>
      <c r="M85" s="13" t="n"/>
    </row>
    <row r="86">
      <c r="A86" s="13" t="n"/>
      <c r="B86" s="14" t="n"/>
      <c r="C86" s="14" t="n"/>
      <c r="D86" s="14" t="n"/>
      <c r="E86" s="13" t="n"/>
      <c r="F86" s="13" t="n"/>
      <c r="G86" s="13" t="n"/>
      <c r="H86" s="13" t="n"/>
      <c r="I86" s="13" t="n"/>
      <c r="J86" s="28">
        <f>IF(OR(B86="",D86=""),"",D86-B86)</f>
        <v/>
      </c>
      <c r="K86" s="28">
        <f>IF(AND(G86="有",J86&lt;&gt;""),J86,"")</f>
        <v/>
      </c>
      <c r="L86" s="28">
        <f>IF(AND(G86="無",J86&lt;&gt;""),J86,"")</f>
        <v/>
      </c>
      <c r="M86" s="13" t="n"/>
    </row>
    <row r="87">
      <c r="A87" s="13" t="n"/>
      <c r="B87" s="14" t="n"/>
      <c r="C87" s="14" t="n"/>
      <c r="D87" s="14" t="n"/>
      <c r="E87" s="13" t="n"/>
      <c r="F87" s="13" t="n"/>
      <c r="G87" s="13" t="n"/>
      <c r="H87" s="13" t="n"/>
      <c r="I87" s="13" t="n"/>
      <c r="J87" s="28">
        <f>IF(OR(B87="",D87=""),"",D87-B87)</f>
        <v/>
      </c>
      <c r="K87" s="28">
        <f>IF(AND(G87="有",J87&lt;&gt;""),J87,"")</f>
        <v/>
      </c>
      <c r="L87" s="28">
        <f>IF(AND(G87="無",J87&lt;&gt;""),J87,"")</f>
        <v/>
      </c>
      <c r="M87" s="13" t="n"/>
    </row>
    <row r="88">
      <c r="A88" s="13" t="n"/>
      <c r="B88" s="14" t="n"/>
      <c r="C88" s="14" t="n"/>
      <c r="D88" s="14" t="n"/>
      <c r="E88" s="13" t="n"/>
      <c r="F88" s="13" t="n"/>
      <c r="G88" s="13" t="n"/>
      <c r="H88" s="13" t="n"/>
      <c r="I88" s="13" t="n"/>
      <c r="J88" s="28">
        <f>IF(OR(B88="",D88=""),"",D88-B88)</f>
        <v/>
      </c>
      <c r="K88" s="28">
        <f>IF(AND(G88="有",J88&lt;&gt;""),J88,"")</f>
        <v/>
      </c>
      <c r="L88" s="28">
        <f>IF(AND(G88="無",J88&lt;&gt;""),J88,"")</f>
        <v/>
      </c>
      <c r="M88" s="13" t="n"/>
    </row>
    <row r="89">
      <c r="A89" s="13" t="n"/>
      <c r="B89" s="14" t="n"/>
      <c r="C89" s="14" t="n"/>
      <c r="D89" s="14" t="n"/>
      <c r="E89" s="13" t="n"/>
      <c r="F89" s="13" t="n"/>
      <c r="G89" s="13" t="n"/>
      <c r="H89" s="13" t="n"/>
      <c r="I89" s="13" t="n"/>
      <c r="J89" s="28">
        <f>IF(OR(B89="",D89=""),"",D89-B89)</f>
        <v/>
      </c>
      <c r="K89" s="28">
        <f>IF(AND(G89="有",J89&lt;&gt;""),J89,"")</f>
        <v/>
      </c>
      <c r="L89" s="28">
        <f>IF(AND(G89="無",J89&lt;&gt;""),J89,"")</f>
        <v/>
      </c>
      <c r="M89" s="13" t="n"/>
    </row>
    <row r="90">
      <c r="A90" s="13" t="n"/>
      <c r="B90" s="14" t="n"/>
      <c r="C90" s="14" t="n"/>
      <c r="D90" s="14" t="n"/>
      <c r="E90" s="13" t="n"/>
      <c r="F90" s="13" t="n"/>
      <c r="G90" s="13" t="n"/>
      <c r="H90" s="13" t="n"/>
      <c r="I90" s="13" t="n"/>
      <c r="J90" s="28">
        <f>IF(OR(B90="",D90=""),"",D90-B90)</f>
        <v/>
      </c>
      <c r="K90" s="28">
        <f>IF(AND(G90="有",J90&lt;&gt;""),J90,"")</f>
        <v/>
      </c>
      <c r="L90" s="28">
        <f>IF(AND(G90="無",J90&lt;&gt;""),J90,"")</f>
        <v/>
      </c>
      <c r="M90" s="13" t="n"/>
    </row>
    <row r="91">
      <c r="A91" s="13" t="n"/>
      <c r="B91" s="14" t="n"/>
      <c r="C91" s="14" t="n"/>
      <c r="D91" s="14" t="n"/>
      <c r="E91" s="13" t="n"/>
      <c r="F91" s="13" t="n"/>
      <c r="G91" s="13" t="n"/>
      <c r="H91" s="13" t="n"/>
      <c r="I91" s="13" t="n"/>
      <c r="J91" s="28">
        <f>IF(OR(B91="",D91=""),"",D91-B91)</f>
        <v/>
      </c>
      <c r="K91" s="28">
        <f>IF(AND(G91="有",J91&lt;&gt;""),J91,"")</f>
        <v/>
      </c>
      <c r="L91" s="28">
        <f>IF(AND(G91="無",J91&lt;&gt;""),J91,"")</f>
        <v/>
      </c>
      <c r="M91" s="13" t="n"/>
    </row>
    <row r="92">
      <c r="A92" s="13" t="n"/>
      <c r="B92" s="14" t="n"/>
      <c r="C92" s="14" t="n"/>
      <c r="D92" s="14" t="n"/>
      <c r="E92" s="13" t="n"/>
      <c r="F92" s="13" t="n"/>
      <c r="G92" s="13" t="n"/>
      <c r="H92" s="13" t="n"/>
      <c r="I92" s="13" t="n"/>
      <c r="J92" s="28">
        <f>IF(OR(B92="",D92=""),"",D92-B92)</f>
        <v/>
      </c>
      <c r="K92" s="28">
        <f>IF(AND(G92="有",J92&lt;&gt;""),J92,"")</f>
        <v/>
      </c>
      <c r="L92" s="28">
        <f>IF(AND(G92="無",J92&lt;&gt;""),J92,"")</f>
        <v/>
      </c>
      <c r="M92" s="13" t="n"/>
    </row>
    <row r="93">
      <c r="A93" s="13" t="n"/>
      <c r="B93" s="14" t="n"/>
      <c r="C93" s="14" t="n"/>
      <c r="D93" s="14" t="n"/>
      <c r="E93" s="13" t="n"/>
      <c r="F93" s="13" t="n"/>
      <c r="G93" s="13" t="n"/>
      <c r="H93" s="13" t="n"/>
      <c r="I93" s="13" t="n"/>
      <c r="J93" s="28">
        <f>IF(OR(B93="",D93=""),"",D93-B93)</f>
        <v/>
      </c>
      <c r="K93" s="28">
        <f>IF(AND(G93="有",J93&lt;&gt;""),J93,"")</f>
        <v/>
      </c>
      <c r="L93" s="28">
        <f>IF(AND(G93="無",J93&lt;&gt;""),J93,"")</f>
        <v/>
      </c>
      <c r="M93" s="13" t="n"/>
    </row>
    <row r="94">
      <c r="A94" s="13" t="n"/>
      <c r="B94" s="14" t="n"/>
      <c r="C94" s="14" t="n"/>
      <c r="D94" s="14" t="n"/>
      <c r="E94" s="13" t="n"/>
      <c r="F94" s="13" t="n"/>
      <c r="G94" s="13" t="n"/>
      <c r="H94" s="13" t="n"/>
      <c r="I94" s="13" t="n"/>
      <c r="J94" s="28">
        <f>IF(OR(B94="",D94=""),"",D94-B94)</f>
        <v/>
      </c>
      <c r="K94" s="28">
        <f>IF(AND(G94="有",J94&lt;&gt;""),J94,"")</f>
        <v/>
      </c>
      <c r="L94" s="28">
        <f>IF(AND(G94="無",J94&lt;&gt;""),J94,"")</f>
        <v/>
      </c>
      <c r="M94" s="13" t="n"/>
    </row>
    <row r="95">
      <c r="A95" s="13" t="n"/>
      <c r="B95" s="14" t="n"/>
      <c r="C95" s="14" t="n"/>
      <c r="D95" s="14" t="n"/>
      <c r="E95" s="13" t="n"/>
      <c r="F95" s="13" t="n"/>
      <c r="G95" s="13" t="n"/>
      <c r="H95" s="13" t="n"/>
      <c r="I95" s="13" t="n"/>
      <c r="J95" s="28">
        <f>IF(OR(B95="",D95=""),"",D95-B95)</f>
        <v/>
      </c>
      <c r="K95" s="28">
        <f>IF(AND(G95="有",J95&lt;&gt;""),J95,"")</f>
        <v/>
      </c>
      <c r="L95" s="28">
        <f>IF(AND(G95="無",J95&lt;&gt;""),J95,"")</f>
        <v/>
      </c>
      <c r="M95" s="13" t="n"/>
    </row>
    <row r="96">
      <c r="A96" s="13" t="n"/>
      <c r="B96" s="14" t="n"/>
      <c r="C96" s="14" t="n"/>
      <c r="D96" s="14" t="n"/>
      <c r="E96" s="13" t="n"/>
      <c r="F96" s="13" t="n"/>
      <c r="G96" s="13" t="n"/>
      <c r="H96" s="13" t="n"/>
      <c r="I96" s="13" t="n"/>
      <c r="J96" s="28">
        <f>IF(OR(B96="",D96=""),"",D96-B96)</f>
        <v/>
      </c>
      <c r="K96" s="28">
        <f>IF(AND(G96="有",J96&lt;&gt;""),J96,"")</f>
        <v/>
      </c>
      <c r="L96" s="28">
        <f>IF(AND(G96="無",J96&lt;&gt;""),J96,"")</f>
        <v/>
      </c>
      <c r="M96" s="13" t="n"/>
    </row>
    <row r="97">
      <c r="A97" s="13" t="n"/>
      <c r="B97" s="14" t="n"/>
      <c r="C97" s="14" t="n"/>
      <c r="D97" s="14" t="n"/>
      <c r="E97" s="13" t="n"/>
      <c r="F97" s="13" t="n"/>
      <c r="G97" s="13" t="n"/>
      <c r="H97" s="13" t="n"/>
      <c r="I97" s="13" t="n"/>
      <c r="J97" s="28">
        <f>IF(OR(B97="",D97=""),"",D97-B97)</f>
        <v/>
      </c>
      <c r="K97" s="28">
        <f>IF(AND(G97="有",J97&lt;&gt;""),J97,"")</f>
        <v/>
      </c>
      <c r="L97" s="28">
        <f>IF(AND(G97="無",J97&lt;&gt;""),J97,"")</f>
        <v/>
      </c>
      <c r="M97" s="13" t="n"/>
    </row>
    <row r="98">
      <c r="A98" s="13" t="n"/>
      <c r="B98" s="14" t="n"/>
      <c r="C98" s="14" t="n"/>
      <c r="D98" s="14" t="n"/>
      <c r="E98" s="13" t="n"/>
      <c r="F98" s="13" t="n"/>
      <c r="G98" s="13" t="n"/>
      <c r="H98" s="13" t="n"/>
      <c r="I98" s="13" t="n"/>
      <c r="J98" s="28">
        <f>IF(OR(B98="",D98=""),"",D98-B98)</f>
        <v/>
      </c>
      <c r="K98" s="28">
        <f>IF(AND(G98="有",J98&lt;&gt;""),J98,"")</f>
        <v/>
      </c>
      <c r="L98" s="28">
        <f>IF(AND(G98="無",J98&lt;&gt;""),J98,"")</f>
        <v/>
      </c>
      <c r="M98" s="13" t="n"/>
    </row>
    <row r="99">
      <c r="A99" s="13" t="n"/>
      <c r="B99" s="14" t="n"/>
      <c r="C99" s="14" t="n"/>
      <c r="D99" s="14" t="n"/>
      <c r="E99" s="13" t="n"/>
      <c r="F99" s="13" t="n"/>
      <c r="G99" s="13" t="n"/>
      <c r="H99" s="13" t="n"/>
      <c r="I99" s="13" t="n"/>
      <c r="J99" s="28">
        <f>IF(OR(B99="",D99=""),"",D99-B99)</f>
        <v/>
      </c>
      <c r="K99" s="28">
        <f>IF(AND(G99="有",J99&lt;&gt;""),J99,"")</f>
        <v/>
      </c>
      <c r="L99" s="28">
        <f>IF(AND(G99="無",J99&lt;&gt;""),J99,"")</f>
        <v/>
      </c>
      <c r="M99" s="13" t="n"/>
    </row>
    <row r="100">
      <c r="A100" s="13" t="n"/>
      <c r="B100" s="14" t="n"/>
      <c r="C100" s="14" t="n"/>
      <c r="D100" s="14" t="n"/>
      <c r="E100" s="13" t="n"/>
      <c r="F100" s="13" t="n"/>
      <c r="G100" s="13" t="n"/>
      <c r="H100" s="13" t="n"/>
      <c r="I100" s="13" t="n"/>
      <c r="J100" s="28">
        <f>IF(OR(B100="",D100=""),"",D100-B100)</f>
        <v/>
      </c>
      <c r="K100" s="28">
        <f>IF(AND(G100="有",J100&lt;&gt;""),J100,"")</f>
        <v/>
      </c>
      <c r="L100" s="28">
        <f>IF(AND(G100="無",J100&lt;&gt;""),J100,"")</f>
        <v/>
      </c>
      <c r="M100" s="13" t="n"/>
    </row>
    <row r="101">
      <c r="A101" s="13" t="n"/>
      <c r="B101" s="14" t="n"/>
      <c r="C101" s="14" t="n"/>
      <c r="D101" s="14" t="n"/>
      <c r="E101" s="13" t="n"/>
      <c r="F101" s="13" t="n"/>
      <c r="G101" s="13" t="n"/>
      <c r="H101" s="13" t="n"/>
      <c r="I101" s="13" t="n"/>
      <c r="J101" s="28">
        <f>IF(OR(B101="",D101=""),"",D101-B101)</f>
        <v/>
      </c>
      <c r="K101" s="28">
        <f>IF(AND(G101="有",J101&lt;&gt;""),J101,"")</f>
        <v/>
      </c>
      <c r="L101" s="28">
        <f>IF(AND(G101="無",J101&lt;&gt;""),J101,"")</f>
        <v/>
      </c>
      <c r="M101" s="13" t="n"/>
    </row>
    <row r="102">
      <c r="A102" s="13" t="n"/>
      <c r="B102" s="14" t="n"/>
      <c r="C102" s="14" t="n"/>
      <c r="D102" s="14" t="n"/>
      <c r="E102" s="13" t="n"/>
      <c r="F102" s="13" t="n"/>
      <c r="G102" s="13" t="n"/>
      <c r="H102" s="13" t="n"/>
      <c r="I102" s="13" t="n"/>
      <c r="J102" s="28">
        <f>IF(OR(B102="",D102=""),"",D102-B102)</f>
        <v/>
      </c>
      <c r="K102" s="28">
        <f>IF(AND(G102="有",J102&lt;&gt;""),J102,"")</f>
        <v/>
      </c>
      <c r="L102" s="28">
        <f>IF(AND(G102="無",J102&lt;&gt;""),J102,"")</f>
        <v/>
      </c>
      <c r="M102" s="13" t="n"/>
    </row>
    <row r="103">
      <c r="A103" s="13" t="n"/>
      <c r="B103" s="14" t="n"/>
      <c r="C103" s="14" t="n"/>
      <c r="D103" s="14" t="n"/>
      <c r="E103" s="13" t="n"/>
      <c r="F103" s="13" t="n"/>
      <c r="G103" s="13" t="n"/>
      <c r="H103" s="13" t="n"/>
      <c r="I103" s="13" t="n"/>
      <c r="J103" s="28">
        <f>IF(OR(B103="",D103=""),"",D103-B103)</f>
        <v/>
      </c>
      <c r="K103" s="28">
        <f>IF(AND(G103="有",J103&lt;&gt;""),J103,"")</f>
        <v/>
      </c>
      <c r="L103" s="28">
        <f>IF(AND(G103="無",J103&lt;&gt;""),J103,"")</f>
        <v/>
      </c>
      <c r="M103" s="13" t="n"/>
    </row>
    <row r="104">
      <c r="A104" s="13" t="n"/>
      <c r="B104" s="14" t="n"/>
      <c r="C104" s="14" t="n"/>
      <c r="D104" s="14" t="n"/>
      <c r="E104" s="13" t="n"/>
      <c r="F104" s="13" t="n"/>
      <c r="G104" s="13" t="n"/>
      <c r="H104" s="13" t="n"/>
      <c r="I104" s="13" t="n"/>
      <c r="J104" s="28">
        <f>IF(OR(B104="",D104=""),"",D104-B104)</f>
        <v/>
      </c>
      <c r="K104" s="28">
        <f>IF(AND(G104="有",J104&lt;&gt;""),J104,"")</f>
        <v/>
      </c>
      <c r="L104" s="28">
        <f>IF(AND(G104="無",J104&lt;&gt;""),J104,"")</f>
        <v/>
      </c>
      <c r="M104" s="13" t="n"/>
    </row>
    <row r="105">
      <c r="A105" s="13" t="n"/>
      <c r="B105" s="14" t="n"/>
      <c r="C105" s="14" t="n"/>
      <c r="D105" s="14" t="n"/>
      <c r="E105" s="13" t="n"/>
      <c r="F105" s="13" t="n"/>
      <c r="G105" s="13" t="n"/>
      <c r="H105" s="13" t="n"/>
      <c r="I105" s="13" t="n"/>
      <c r="J105" s="28">
        <f>IF(OR(B105="",D105=""),"",D105-B105)</f>
        <v/>
      </c>
      <c r="K105" s="28">
        <f>IF(AND(G105="有",J105&lt;&gt;""),J105,"")</f>
        <v/>
      </c>
      <c r="L105" s="28">
        <f>IF(AND(G105="無",J105&lt;&gt;""),J105,"")</f>
        <v/>
      </c>
      <c r="M105" s="13" t="n"/>
    </row>
    <row r="106">
      <c r="A106" s="13" t="n"/>
      <c r="B106" s="14" t="n"/>
      <c r="C106" s="14" t="n"/>
      <c r="D106" s="14" t="n"/>
      <c r="E106" s="13" t="n"/>
      <c r="F106" s="13" t="n"/>
      <c r="G106" s="13" t="n"/>
      <c r="H106" s="13" t="n"/>
      <c r="I106" s="13" t="n"/>
      <c r="J106" s="28">
        <f>IF(OR(B106="",D106=""),"",D106-B106)</f>
        <v/>
      </c>
      <c r="K106" s="28">
        <f>IF(AND(G106="有",J106&lt;&gt;""),J106,"")</f>
        <v/>
      </c>
      <c r="L106" s="28">
        <f>IF(AND(G106="無",J106&lt;&gt;""),J106,"")</f>
        <v/>
      </c>
      <c r="M106" s="13" t="n"/>
    </row>
    <row r="107">
      <c r="A107" s="13" t="n"/>
      <c r="B107" s="14" t="n"/>
      <c r="C107" s="14" t="n"/>
      <c r="D107" s="14" t="n"/>
      <c r="E107" s="13" t="n"/>
      <c r="F107" s="13" t="n"/>
      <c r="G107" s="13" t="n"/>
      <c r="H107" s="13" t="n"/>
      <c r="I107" s="13" t="n"/>
      <c r="J107" s="28">
        <f>IF(OR(B107="",D107=""),"",D107-B107)</f>
        <v/>
      </c>
      <c r="K107" s="28">
        <f>IF(AND(G107="有",J107&lt;&gt;""),J107,"")</f>
        <v/>
      </c>
      <c r="L107" s="28">
        <f>IF(AND(G107="無",J107&lt;&gt;""),J107,"")</f>
        <v/>
      </c>
      <c r="M107" s="13" t="n"/>
    </row>
    <row r="108">
      <c r="A108" s="13" t="n"/>
      <c r="B108" s="14" t="n"/>
      <c r="C108" s="14" t="n"/>
      <c r="D108" s="14" t="n"/>
      <c r="E108" s="13" t="n"/>
      <c r="F108" s="13" t="n"/>
      <c r="G108" s="13" t="n"/>
      <c r="H108" s="13" t="n"/>
      <c r="I108" s="13" t="n"/>
      <c r="J108" s="28">
        <f>IF(OR(B108="",D108=""),"",D108-B108)</f>
        <v/>
      </c>
      <c r="K108" s="28">
        <f>IF(AND(G108="有",J108&lt;&gt;""),J108,"")</f>
        <v/>
      </c>
      <c r="L108" s="28">
        <f>IF(AND(G108="無",J108&lt;&gt;""),J108,"")</f>
        <v/>
      </c>
      <c r="M108" s="13" t="n"/>
    </row>
    <row r="109">
      <c r="A109" s="13" t="n"/>
      <c r="B109" s="14" t="n"/>
      <c r="C109" s="14" t="n"/>
      <c r="D109" s="14" t="n"/>
      <c r="E109" s="13" t="n"/>
      <c r="F109" s="13" t="n"/>
      <c r="G109" s="13" t="n"/>
      <c r="H109" s="13" t="n"/>
      <c r="I109" s="13" t="n"/>
      <c r="J109" s="28">
        <f>IF(OR(B109="",D109=""),"",D109-B109)</f>
        <v/>
      </c>
      <c r="K109" s="28">
        <f>IF(AND(G109="有",J109&lt;&gt;""),J109,"")</f>
        <v/>
      </c>
      <c r="L109" s="28">
        <f>IF(AND(G109="無",J109&lt;&gt;""),J109,"")</f>
        <v/>
      </c>
      <c r="M109" s="13" t="n"/>
    </row>
    <row r="110">
      <c r="A110" s="13" t="n"/>
      <c r="B110" s="14" t="n"/>
      <c r="C110" s="14" t="n"/>
      <c r="D110" s="14" t="n"/>
      <c r="E110" s="13" t="n"/>
      <c r="F110" s="13" t="n"/>
      <c r="G110" s="13" t="n"/>
      <c r="H110" s="13" t="n"/>
      <c r="I110" s="13" t="n"/>
      <c r="J110" s="28">
        <f>IF(OR(B110="",D110=""),"",D110-B110)</f>
        <v/>
      </c>
      <c r="K110" s="28">
        <f>IF(AND(G110="有",J110&lt;&gt;""),J110,"")</f>
        <v/>
      </c>
      <c r="L110" s="28">
        <f>IF(AND(G110="無",J110&lt;&gt;""),J110,"")</f>
        <v/>
      </c>
      <c r="M110" s="13" t="n"/>
    </row>
    <row r="111">
      <c r="A111" s="13" t="n"/>
      <c r="B111" s="14" t="n"/>
      <c r="C111" s="14" t="n"/>
      <c r="D111" s="14" t="n"/>
      <c r="E111" s="13" t="n"/>
      <c r="F111" s="13" t="n"/>
      <c r="G111" s="13" t="n"/>
      <c r="H111" s="13" t="n"/>
      <c r="I111" s="13" t="n"/>
      <c r="J111" s="28">
        <f>IF(OR(B111="",D111=""),"",D111-B111)</f>
        <v/>
      </c>
      <c r="K111" s="28">
        <f>IF(AND(G111="有",J111&lt;&gt;""),J111,"")</f>
        <v/>
      </c>
      <c r="L111" s="28">
        <f>IF(AND(G111="無",J111&lt;&gt;""),J111,"")</f>
        <v/>
      </c>
      <c r="M111" s="13" t="n"/>
    </row>
    <row r="112">
      <c r="A112" s="13" t="n"/>
      <c r="B112" s="14" t="n"/>
      <c r="C112" s="14" t="n"/>
      <c r="D112" s="14" t="n"/>
      <c r="E112" s="13" t="n"/>
      <c r="F112" s="13" t="n"/>
      <c r="G112" s="13" t="n"/>
      <c r="H112" s="13" t="n"/>
      <c r="I112" s="13" t="n"/>
      <c r="J112" s="28">
        <f>IF(OR(B112="",D112=""),"",D112-B112)</f>
        <v/>
      </c>
      <c r="K112" s="28">
        <f>IF(AND(G112="有",J112&lt;&gt;""),J112,"")</f>
        <v/>
      </c>
      <c r="L112" s="28">
        <f>IF(AND(G112="無",J112&lt;&gt;""),J112,"")</f>
        <v/>
      </c>
      <c r="M112" s="13" t="n"/>
    </row>
    <row r="113">
      <c r="A113" s="13" t="n"/>
      <c r="B113" s="14" t="n"/>
      <c r="C113" s="14" t="n"/>
      <c r="D113" s="14" t="n"/>
      <c r="E113" s="13" t="n"/>
      <c r="F113" s="13" t="n"/>
      <c r="G113" s="13" t="n"/>
      <c r="H113" s="13" t="n"/>
      <c r="I113" s="13" t="n"/>
      <c r="J113" s="28">
        <f>IF(OR(B113="",D113=""),"",D113-B113)</f>
        <v/>
      </c>
      <c r="K113" s="28">
        <f>IF(AND(G113="有",J113&lt;&gt;""),J113,"")</f>
        <v/>
      </c>
      <c r="L113" s="28">
        <f>IF(AND(G113="無",J113&lt;&gt;""),J113,"")</f>
        <v/>
      </c>
      <c r="M113" s="13" t="n"/>
    </row>
    <row r="114">
      <c r="A114" s="13" t="n"/>
      <c r="B114" s="14" t="n"/>
      <c r="C114" s="14" t="n"/>
      <c r="D114" s="14" t="n"/>
      <c r="E114" s="13" t="n"/>
      <c r="F114" s="13" t="n"/>
      <c r="G114" s="13" t="n"/>
      <c r="H114" s="13" t="n"/>
      <c r="I114" s="13" t="n"/>
      <c r="J114" s="28">
        <f>IF(OR(B114="",D114=""),"",D114-B114)</f>
        <v/>
      </c>
      <c r="K114" s="28">
        <f>IF(AND(G114="有",J114&lt;&gt;""),J114,"")</f>
        <v/>
      </c>
      <c r="L114" s="28">
        <f>IF(AND(G114="無",J114&lt;&gt;""),J114,"")</f>
        <v/>
      </c>
      <c r="M114" s="13" t="n"/>
    </row>
    <row r="115">
      <c r="A115" s="13" t="n"/>
      <c r="B115" s="14" t="n"/>
      <c r="C115" s="14" t="n"/>
      <c r="D115" s="14" t="n"/>
      <c r="E115" s="13" t="n"/>
      <c r="F115" s="13" t="n"/>
      <c r="G115" s="13" t="n"/>
      <c r="H115" s="13" t="n"/>
      <c r="I115" s="13" t="n"/>
      <c r="J115" s="28">
        <f>IF(OR(B115="",D115=""),"",D115-B115)</f>
        <v/>
      </c>
      <c r="K115" s="28">
        <f>IF(AND(G115="有",J115&lt;&gt;""),J115,"")</f>
        <v/>
      </c>
      <c r="L115" s="28">
        <f>IF(AND(G115="無",J115&lt;&gt;""),J115,"")</f>
        <v/>
      </c>
      <c r="M115" s="13" t="n"/>
    </row>
    <row r="116">
      <c r="A116" s="13" t="n"/>
      <c r="B116" s="14" t="n"/>
      <c r="C116" s="14" t="n"/>
      <c r="D116" s="14" t="n"/>
      <c r="E116" s="13" t="n"/>
      <c r="F116" s="13" t="n"/>
      <c r="G116" s="13" t="n"/>
      <c r="H116" s="13" t="n"/>
      <c r="I116" s="13" t="n"/>
      <c r="J116" s="28">
        <f>IF(OR(B116="",D116=""),"",D116-B116)</f>
        <v/>
      </c>
      <c r="K116" s="28">
        <f>IF(AND(G116="有",J116&lt;&gt;""),J116,"")</f>
        <v/>
      </c>
      <c r="L116" s="28">
        <f>IF(AND(G116="無",J116&lt;&gt;""),J116,"")</f>
        <v/>
      </c>
      <c r="M116" s="13" t="n"/>
    </row>
    <row r="117">
      <c r="A117" s="13" t="n"/>
      <c r="B117" s="14" t="n"/>
      <c r="C117" s="14" t="n"/>
      <c r="D117" s="14" t="n"/>
      <c r="E117" s="13" t="n"/>
      <c r="F117" s="13" t="n"/>
      <c r="G117" s="13" t="n"/>
      <c r="H117" s="13" t="n"/>
      <c r="I117" s="13" t="n"/>
      <c r="J117" s="28">
        <f>IF(OR(B117="",D117=""),"",D117-B117)</f>
        <v/>
      </c>
      <c r="K117" s="28">
        <f>IF(AND(G117="有",J117&lt;&gt;""),J117,"")</f>
        <v/>
      </c>
      <c r="L117" s="28">
        <f>IF(AND(G117="無",J117&lt;&gt;""),J117,"")</f>
        <v/>
      </c>
      <c r="M117" s="13" t="n"/>
    </row>
    <row r="118">
      <c r="A118" s="13" t="n"/>
      <c r="B118" s="14" t="n"/>
      <c r="C118" s="14" t="n"/>
      <c r="D118" s="14" t="n"/>
      <c r="E118" s="13" t="n"/>
      <c r="F118" s="13" t="n"/>
      <c r="G118" s="13" t="n"/>
      <c r="H118" s="13" t="n"/>
      <c r="I118" s="13" t="n"/>
      <c r="J118" s="28">
        <f>IF(OR(B118="",D118=""),"",D118-B118)</f>
        <v/>
      </c>
      <c r="K118" s="28">
        <f>IF(AND(G118="有",J118&lt;&gt;""),J118,"")</f>
        <v/>
      </c>
      <c r="L118" s="28">
        <f>IF(AND(G118="無",J118&lt;&gt;""),J118,"")</f>
        <v/>
      </c>
      <c r="M118" s="13" t="n"/>
    </row>
    <row r="119">
      <c r="A119" s="13" t="n"/>
      <c r="B119" s="14" t="n"/>
      <c r="C119" s="14" t="n"/>
      <c r="D119" s="14" t="n"/>
      <c r="E119" s="13" t="n"/>
      <c r="F119" s="13" t="n"/>
      <c r="G119" s="13" t="n"/>
      <c r="H119" s="13" t="n"/>
      <c r="I119" s="13" t="n"/>
      <c r="J119" s="28">
        <f>IF(OR(B119="",D119=""),"",D119-B119)</f>
        <v/>
      </c>
      <c r="K119" s="28">
        <f>IF(AND(G119="有",J119&lt;&gt;""),J119,"")</f>
        <v/>
      </c>
      <c r="L119" s="28">
        <f>IF(AND(G119="無",J119&lt;&gt;""),J119,"")</f>
        <v/>
      </c>
      <c r="M119" s="13" t="n"/>
    </row>
    <row r="120">
      <c r="A120" s="13" t="n"/>
      <c r="B120" s="14" t="n"/>
      <c r="C120" s="14" t="n"/>
      <c r="D120" s="14" t="n"/>
      <c r="E120" s="13" t="n"/>
      <c r="F120" s="13" t="n"/>
      <c r="G120" s="13" t="n"/>
      <c r="H120" s="13" t="n"/>
      <c r="I120" s="13" t="n"/>
      <c r="J120" s="28">
        <f>IF(OR(B120="",D120=""),"",D120-B120)</f>
        <v/>
      </c>
      <c r="K120" s="28">
        <f>IF(AND(G120="有",J120&lt;&gt;""),J120,"")</f>
        <v/>
      </c>
      <c r="L120" s="28">
        <f>IF(AND(G120="無",J120&lt;&gt;""),J120,"")</f>
        <v/>
      </c>
      <c r="M120" s="13" t="n"/>
    </row>
    <row r="121">
      <c r="A121" s="13" t="n"/>
      <c r="B121" s="14" t="n"/>
      <c r="C121" s="14" t="n"/>
      <c r="D121" s="14" t="n"/>
      <c r="E121" s="13" t="n"/>
      <c r="F121" s="13" t="n"/>
      <c r="G121" s="13" t="n"/>
      <c r="H121" s="13" t="n"/>
      <c r="I121" s="13" t="n"/>
      <c r="J121" s="28">
        <f>IF(OR(B121="",D121=""),"",D121-B121)</f>
        <v/>
      </c>
      <c r="K121" s="28">
        <f>IF(AND(G121="有",J121&lt;&gt;""),J121,"")</f>
        <v/>
      </c>
      <c r="L121" s="28">
        <f>IF(AND(G121="無",J121&lt;&gt;""),J121,"")</f>
        <v/>
      </c>
      <c r="M121" s="13" t="n"/>
    </row>
    <row r="122">
      <c r="A122" s="13" t="n"/>
      <c r="B122" s="14" t="n"/>
      <c r="C122" s="14" t="n"/>
      <c r="D122" s="14" t="n"/>
      <c r="E122" s="13" t="n"/>
      <c r="F122" s="13" t="n"/>
      <c r="G122" s="13" t="n"/>
      <c r="H122" s="13" t="n"/>
      <c r="I122" s="13" t="n"/>
      <c r="J122" s="28">
        <f>IF(OR(B122="",D122=""),"",D122-B122)</f>
        <v/>
      </c>
      <c r="K122" s="28">
        <f>IF(AND(G122="有",J122&lt;&gt;""),J122,"")</f>
        <v/>
      </c>
      <c r="L122" s="28">
        <f>IF(AND(G122="無",J122&lt;&gt;""),J122,"")</f>
        <v/>
      </c>
      <c r="M122" s="13" t="n"/>
    </row>
    <row r="123">
      <c r="A123" s="13" t="n"/>
      <c r="B123" s="14" t="n"/>
      <c r="C123" s="14" t="n"/>
      <c r="D123" s="14" t="n"/>
      <c r="E123" s="13" t="n"/>
      <c r="F123" s="13" t="n"/>
      <c r="G123" s="13" t="n"/>
      <c r="H123" s="13" t="n"/>
      <c r="I123" s="13" t="n"/>
      <c r="J123" s="28">
        <f>IF(OR(B123="",D123=""),"",D123-B123)</f>
        <v/>
      </c>
      <c r="K123" s="28">
        <f>IF(AND(G123="有",J123&lt;&gt;""),J123,"")</f>
        <v/>
      </c>
      <c r="L123" s="28">
        <f>IF(AND(G123="無",J123&lt;&gt;""),J123,"")</f>
        <v/>
      </c>
      <c r="M123" s="13" t="n"/>
    </row>
    <row r="124">
      <c r="A124" s="13" t="n"/>
      <c r="B124" s="14" t="n"/>
      <c r="C124" s="14" t="n"/>
      <c r="D124" s="14" t="n"/>
      <c r="E124" s="13" t="n"/>
      <c r="F124" s="13" t="n"/>
      <c r="G124" s="13" t="n"/>
      <c r="H124" s="13" t="n"/>
      <c r="I124" s="13" t="n"/>
      <c r="J124" s="28">
        <f>IF(OR(B124="",D124=""),"",D124-B124)</f>
        <v/>
      </c>
      <c r="K124" s="28">
        <f>IF(AND(G124="有",J124&lt;&gt;""),J124,"")</f>
        <v/>
      </c>
      <c r="L124" s="28">
        <f>IF(AND(G124="無",J124&lt;&gt;""),J124,"")</f>
        <v/>
      </c>
      <c r="M124" s="13" t="n"/>
    </row>
    <row r="125">
      <c r="A125" s="13" t="n"/>
      <c r="B125" s="14" t="n"/>
      <c r="C125" s="14" t="n"/>
      <c r="D125" s="14" t="n"/>
      <c r="E125" s="13" t="n"/>
      <c r="F125" s="13" t="n"/>
      <c r="G125" s="13" t="n"/>
      <c r="H125" s="13" t="n"/>
      <c r="I125" s="13" t="n"/>
      <c r="J125" s="28">
        <f>IF(OR(B125="",D125=""),"",D125-B125)</f>
        <v/>
      </c>
      <c r="K125" s="28">
        <f>IF(AND(G125="有",J125&lt;&gt;""),J125,"")</f>
        <v/>
      </c>
      <c r="L125" s="28">
        <f>IF(AND(G125="無",J125&lt;&gt;""),J125,"")</f>
        <v/>
      </c>
      <c r="M125" s="13" t="n"/>
    </row>
    <row r="126">
      <c r="A126" s="13" t="n"/>
      <c r="B126" s="14" t="n"/>
      <c r="C126" s="14" t="n"/>
      <c r="D126" s="14" t="n"/>
      <c r="E126" s="13" t="n"/>
      <c r="F126" s="13" t="n"/>
      <c r="G126" s="13" t="n"/>
      <c r="H126" s="13" t="n"/>
      <c r="I126" s="13" t="n"/>
      <c r="J126" s="28">
        <f>IF(OR(B126="",D126=""),"",D126-B126)</f>
        <v/>
      </c>
      <c r="K126" s="28">
        <f>IF(AND(G126="有",J126&lt;&gt;""),J126,"")</f>
        <v/>
      </c>
      <c r="L126" s="28">
        <f>IF(AND(G126="無",J126&lt;&gt;""),J126,"")</f>
        <v/>
      </c>
      <c r="M126" s="13" t="n"/>
    </row>
    <row r="127">
      <c r="A127" s="13" t="n"/>
      <c r="B127" s="14" t="n"/>
      <c r="C127" s="14" t="n"/>
      <c r="D127" s="14" t="n"/>
      <c r="E127" s="13" t="n"/>
      <c r="F127" s="13" t="n"/>
      <c r="G127" s="13" t="n"/>
      <c r="H127" s="13" t="n"/>
      <c r="I127" s="13" t="n"/>
      <c r="J127" s="28">
        <f>IF(OR(B127="",D127=""),"",D127-B127)</f>
        <v/>
      </c>
      <c r="K127" s="28">
        <f>IF(AND(G127="有",J127&lt;&gt;""),J127,"")</f>
        <v/>
      </c>
      <c r="L127" s="28">
        <f>IF(AND(G127="無",J127&lt;&gt;""),J127,"")</f>
        <v/>
      </c>
      <c r="M127" s="13" t="n"/>
    </row>
    <row r="128">
      <c r="A128" s="13" t="n"/>
      <c r="B128" s="14" t="n"/>
      <c r="C128" s="14" t="n"/>
      <c r="D128" s="14" t="n"/>
      <c r="E128" s="13" t="n"/>
      <c r="F128" s="13" t="n"/>
      <c r="G128" s="13" t="n"/>
      <c r="H128" s="13" t="n"/>
      <c r="I128" s="13" t="n"/>
      <c r="J128" s="28">
        <f>IF(OR(B128="",D128=""),"",D128-B128)</f>
        <v/>
      </c>
      <c r="K128" s="28">
        <f>IF(AND(G128="有",J128&lt;&gt;""),J128,"")</f>
        <v/>
      </c>
      <c r="L128" s="28">
        <f>IF(AND(G128="無",J128&lt;&gt;""),J128,"")</f>
        <v/>
      </c>
      <c r="M128" s="13" t="n"/>
    </row>
    <row r="129">
      <c r="A129" s="13" t="n"/>
      <c r="B129" s="14" t="n"/>
      <c r="C129" s="14" t="n"/>
      <c r="D129" s="14" t="n"/>
      <c r="E129" s="13" t="n"/>
      <c r="F129" s="13" t="n"/>
      <c r="G129" s="13" t="n"/>
      <c r="H129" s="13" t="n"/>
      <c r="I129" s="13" t="n"/>
      <c r="J129" s="28">
        <f>IF(OR(B129="",D129=""),"",D129-B129)</f>
        <v/>
      </c>
      <c r="K129" s="28">
        <f>IF(AND(G129="有",J129&lt;&gt;""),J129,"")</f>
        <v/>
      </c>
      <c r="L129" s="28">
        <f>IF(AND(G129="無",J129&lt;&gt;""),J129,"")</f>
        <v/>
      </c>
      <c r="M129" s="13" t="n"/>
    </row>
    <row r="130">
      <c r="A130" s="13" t="n"/>
      <c r="B130" s="14" t="n"/>
      <c r="C130" s="14" t="n"/>
      <c r="D130" s="14" t="n"/>
      <c r="E130" s="13" t="n"/>
      <c r="F130" s="13" t="n"/>
      <c r="G130" s="13" t="n"/>
      <c r="H130" s="13" t="n"/>
      <c r="I130" s="13" t="n"/>
      <c r="J130" s="28">
        <f>IF(OR(B130="",D130=""),"",D130-B130)</f>
        <v/>
      </c>
      <c r="K130" s="28">
        <f>IF(AND(G130="有",J130&lt;&gt;""),J130,"")</f>
        <v/>
      </c>
      <c r="L130" s="28">
        <f>IF(AND(G130="無",J130&lt;&gt;""),J130,"")</f>
        <v/>
      </c>
      <c r="M130" s="13" t="n"/>
    </row>
    <row r="131">
      <c r="A131" s="13" t="n"/>
      <c r="B131" s="14" t="n"/>
      <c r="C131" s="14" t="n"/>
      <c r="D131" s="14" t="n"/>
      <c r="E131" s="13" t="n"/>
      <c r="F131" s="13" t="n"/>
      <c r="G131" s="13" t="n"/>
      <c r="H131" s="13" t="n"/>
      <c r="I131" s="13" t="n"/>
      <c r="J131" s="28">
        <f>IF(OR(B131="",D131=""),"",D131-B131)</f>
        <v/>
      </c>
      <c r="K131" s="28">
        <f>IF(AND(G131="有",J131&lt;&gt;""),J131,"")</f>
        <v/>
      </c>
      <c r="L131" s="28">
        <f>IF(AND(G131="無",J131&lt;&gt;""),J131,"")</f>
        <v/>
      </c>
      <c r="M131" s="13" t="n"/>
    </row>
    <row r="132">
      <c r="A132" s="13" t="n"/>
      <c r="B132" s="14" t="n"/>
      <c r="C132" s="14" t="n"/>
      <c r="D132" s="14" t="n"/>
      <c r="E132" s="13" t="n"/>
      <c r="F132" s="13" t="n"/>
      <c r="G132" s="13" t="n"/>
      <c r="H132" s="13" t="n"/>
      <c r="I132" s="13" t="n"/>
      <c r="J132" s="28">
        <f>IF(OR(B132="",D132=""),"",D132-B132)</f>
        <v/>
      </c>
      <c r="K132" s="28">
        <f>IF(AND(G132="有",J132&lt;&gt;""),J132,"")</f>
        <v/>
      </c>
      <c r="L132" s="28">
        <f>IF(AND(G132="無",J132&lt;&gt;""),J132,"")</f>
        <v/>
      </c>
      <c r="M132" s="13" t="n"/>
    </row>
    <row r="133">
      <c r="A133" s="13" t="n"/>
      <c r="B133" s="14" t="n"/>
      <c r="C133" s="14" t="n"/>
      <c r="D133" s="14" t="n"/>
      <c r="E133" s="13" t="n"/>
      <c r="F133" s="13" t="n"/>
      <c r="G133" s="13" t="n"/>
      <c r="H133" s="13" t="n"/>
      <c r="I133" s="13" t="n"/>
      <c r="J133" s="28">
        <f>IF(OR(B133="",D133=""),"",D133-B133)</f>
        <v/>
      </c>
      <c r="K133" s="28">
        <f>IF(AND(G133="有",J133&lt;&gt;""),J133,"")</f>
        <v/>
      </c>
      <c r="L133" s="28">
        <f>IF(AND(G133="無",J133&lt;&gt;""),J133,"")</f>
        <v/>
      </c>
      <c r="M133" s="13" t="n"/>
    </row>
    <row r="134">
      <c r="A134" s="13" t="n"/>
      <c r="B134" s="14" t="n"/>
      <c r="C134" s="14" t="n"/>
      <c r="D134" s="14" t="n"/>
      <c r="E134" s="13" t="n"/>
      <c r="F134" s="13" t="n"/>
      <c r="G134" s="13" t="n"/>
      <c r="H134" s="13" t="n"/>
      <c r="I134" s="13" t="n"/>
      <c r="J134" s="28">
        <f>IF(OR(B134="",D134=""),"",D134-B134)</f>
        <v/>
      </c>
      <c r="K134" s="28">
        <f>IF(AND(G134="有",J134&lt;&gt;""),J134,"")</f>
        <v/>
      </c>
      <c r="L134" s="28">
        <f>IF(AND(G134="無",J134&lt;&gt;""),J134,"")</f>
        <v/>
      </c>
      <c r="M134" s="13" t="n"/>
    </row>
    <row r="135">
      <c r="A135" s="13" t="n"/>
      <c r="B135" s="14" t="n"/>
      <c r="C135" s="14" t="n"/>
      <c r="D135" s="14" t="n"/>
      <c r="E135" s="13" t="n"/>
      <c r="F135" s="13" t="n"/>
      <c r="G135" s="13" t="n"/>
      <c r="H135" s="13" t="n"/>
      <c r="I135" s="13" t="n"/>
      <c r="J135" s="28">
        <f>IF(OR(B135="",D135=""),"",D135-B135)</f>
        <v/>
      </c>
      <c r="K135" s="28">
        <f>IF(AND(G135="有",J135&lt;&gt;""),J135,"")</f>
        <v/>
      </c>
      <c r="L135" s="28">
        <f>IF(AND(G135="無",J135&lt;&gt;""),J135,"")</f>
        <v/>
      </c>
      <c r="M135" s="13" t="n"/>
    </row>
    <row r="136">
      <c r="A136" s="13" t="n"/>
      <c r="B136" s="14" t="n"/>
      <c r="C136" s="14" t="n"/>
      <c r="D136" s="14" t="n"/>
      <c r="E136" s="13" t="n"/>
      <c r="F136" s="13" t="n"/>
      <c r="G136" s="13" t="n"/>
      <c r="H136" s="13" t="n"/>
      <c r="I136" s="13" t="n"/>
      <c r="J136" s="28">
        <f>IF(OR(B136="",D136=""),"",D136-B136)</f>
        <v/>
      </c>
      <c r="K136" s="28">
        <f>IF(AND(G136="有",J136&lt;&gt;""),J136,"")</f>
        <v/>
      </c>
      <c r="L136" s="28">
        <f>IF(AND(G136="無",J136&lt;&gt;""),J136,"")</f>
        <v/>
      </c>
      <c r="M136" s="13" t="n"/>
    </row>
    <row r="137">
      <c r="A137" s="13" t="n"/>
      <c r="B137" s="14" t="n"/>
      <c r="C137" s="14" t="n"/>
      <c r="D137" s="14" t="n"/>
      <c r="E137" s="13" t="n"/>
      <c r="F137" s="13" t="n"/>
      <c r="G137" s="13" t="n"/>
      <c r="H137" s="13" t="n"/>
      <c r="I137" s="13" t="n"/>
      <c r="J137" s="28">
        <f>IF(OR(B137="",D137=""),"",D137-B137)</f>
        <v/>
      </c>
      <c r="K137" s="28">
        <f>IF(AND(G137="有",J137&lt;&gt;""),J137,"")</f>
        <v/>
      </c>
      <c r="L137" s="28">
        <f>IF(AND(G137="無",J137&lt;&gt;""),J137,"")</f>
        <v/>
      </c>
      <c r="M137" s="13" t="n"/>
    </row>
    <row r="138">
      <c r="A138" s="13" t="n"/>
      <c r="B138" s="14" t="n"/>
      <c r="C138" s="14" t="n"/>
      <c r="D138" s="14" t="n"/>
      <c r="E138" s="13" t="n"/>
      <c r="F138" s="13" t="n"/>
      <c r="G138" s="13" t="n"/>
      <c r="H138" s="13" t="n"/>
      <c r="I138" s="13" t="n"/>
      <c r="J138" s="28">
        <f>IF(OR(B138="",D138=""),"",D138-B138)</f>
        <v/>
      </c>
      <c r="K138" s="28">
        <f>IF(AND(G138="有",J138&lt;&gt;""),J138,"")</f>
        <v/>
      </c>
      <c r="L138" s="28">
        <f>IF(AND(G138="無",J138&lt;&gt;""),J138,"")</f>
        <v/>
      </c>
      <c r="M138" s="13" t="n"/>
    </row>
    <row r="139">
      <c r="A139" s="13" t="n"/>
      <c r="B139" s="14" t="n"/>
      <c r="C139" s="14" t="n"/>
      <c r="D139" s="14" t="n"/>
      <c r="E139" s="13" t="n"/>
      <c r="F139" s="13" t="n"/>
      <c r="G139" s="13" t="n"/>
      <c r="H139" s="13" t="n"/>
      <c r="I139" s="13" t="n"/>
      <c r="J139" s="28">
        <f>IF(OR(B139="",D139=""),"",D139-B139)</f>
        <v/>
      </c>
      <c r="K139" s="28">
        <f>IF(AND(G139="有",J139&lt;&gt;""),J139,"")</f>
        <v/>
      </c>
      <c r="L139" s="28">
        <f>IF(AND(G139="無",J139&lt;&gt;""),J139,"")</f>
        <v/>
      </c>
      <c r="M139" s="13" t="n"/>
    </row>
    <row r="140">
      <c r="A140" s="13" t="n"/>
      <c r="B140" s="14" t="n"/>
      <c r="C140" s="14" t="n"/>
      <c r="D140" s="14" t="n"/>
      <c r="E140" s="13" t="n"/>
      <c r="F140" s="13" t="n"/>
      <c r="G140" s="13" t="n"/>
      <c r="H140" s="13" t="n"/>
      <c r="I140" s="13" t="n"/>
      <c r="J140" s="28">
        <f>IF(OR(B140="",D140=""),"",D140-B140)</f>
        <v/>
      </c>
      <c r="K140" s="28">
        <f>IF(AND(G140="有",J140&lt;&gt;""),J140,"")</f>
        <v/>
      </c>
      <c r="L140" s="28">
        <f>IF(AND(G140="無",J140&lt;&gt;""),J140,"")</f>
        <v/>
      </c>
      <c r="M140" s="13" t="n"/>
    </row>
    <row r="141">
      <c r="A141" s="13" t="n"/>
      <c r="B141" s="14" t="n"/>
      <c r="C141" s="14" t="n"/>
      <c r="D141" s="14" t="n"/>
      <c r="E141" s="13" t="n"/>
      <c r="F141" s="13" t="n"/>
      <c r="G141" s="13" t="n"/>
      <c r="H141" s="13" t="n"/>
      <c r="I141" s="13" t="n"/>
      <c r="J141" s="28">
        <f>IF(OR(B141="",D141=""),"",D141-B141)</f>
        <v/>
      </c>
      <c r="K141" s="28">
        <f>IF(AND(G141="有",J141&lt;&gt;""),J141,"")</f>
        <v/>
      </c>
      <c r="L141" s="28">
        <f>IF(AND(G141="無",J141&lt;&gt;""),J141,"")</f>
        <v/>
      </c>
      <c r="M141" s="13" t="n"/>
    </row>
    <row r="142">
      <c r="A142" s="13" t="n"/>
      <c r="B142" s="14" t="n"/>
      <c r="C142" s="14" t="n"/>
      <c r="D142" s="14" t="n"/>
      <c r="E142" s="13" t="n"/>
      <c r="F142" s="13" t="n"/>
      <c r="G142" s="13" t="n"/>
      <c r="H142" s="13" t="n"/>
      <c r="I142" s="13" t="n"/>
      <c r="J142" s="28">
        <f>IF(OR(B142="",D142=""),"",D142-B142)</f>
        <v/>
      </c>
      <c r="K142" s="28">
        <f>IF(AND(G142="有",J142&lt;&gt;""),J142,"")</f>
        <v/>
      </c>
      <c r="L142" s="28">
        <f>IF(AND(G142="無",J142&lt;&gt;""),J142,"")</f>
        <v/>
      </c>
      <c r="M142" s="13" t="n"/>
    </row>
    <row r="143">
      <c r="A143" s="13" t="n"/>
      <c r="B143" s="14" t="n"/>
      <c r="C143" s="14" t="n"/>
      <c r="D143" s="14" t="n"/>
      <c r="E143" s="13" t="n"/>
      <c r="F143" s="13" t="n"/>
      <c r="G143" s="13" t="n"/>
      <c r="H143" s="13" t="n"/>
      <c r="I143" s="13" t="n"/>
      <c r="J143" s="28">
        <f>IF(OR(B143="",D143=""),"",D143-B143)</f>
        <v/>
      </c>
      <c r="K143" s="28">
        <f>IF(AND(G143="有",J143&lt;&gt;""),J143,"")</f>
        <v/>
      </c>
      <c r="L143" s="28">
        <f>IF(AND(G143="無",J143&lt;&gt;""),J143,"")</f>
        <v/>
      </c>
      <c r="M143" s="13" t="n"/>
    </row>
    <row r="144">
      <c r="A144" s="13" t="n"/>
      <c r="B144" s="14" t="n"/>
      <c r="C144" s="14" t="n"/>
      <c r="D144" s="14" t="n"/>
      <c r="E144" s="13" t="n"/>
      <c r="F144" s="13" t="n"/>
      <c r="G144" s="13" t="n"/>
      <c r="H144" s="13" t="n"/>
      <c r="I144" s="13" t="n"/>
      <c r="J144" s="28">
        <f>IF(OR(B144="",D144=""),"",D144-B144)</f>
        <v/>
      </c>
      <c r="K144" s="28">
        <f>IF(AND(G144="有",J144&lt;&gt;""),J144,"")</f>
        <v/>
      </c>
      <c r="L144" s="28">
        <f>IF(AND(G144="無",J144&lt;&gt;""),J144,"")</f>
        <v/>
      </c>
      <c r="M144" s="13" t="n"/>
    </row>
    <row r="145">
      <c r="A145" s="13" t="n"/>
      <c r="B145" s="14" t="n"/>
      <c r="C145" s="14" t="n"/>
      <c r="D145" s="14" t="n"/>
      <c r="E145" s="13" t="n"/>
      <c r="F145" s="13" t="n"/>
      <c r="G145" s="13" t="n"/>
      <c r="H145" s="13" t="n"/>
      <c r="I145" s="13" t="n"/>
      <c r="J145" s="28">
        <f>IF(OR(B145="",D145=""),"",D145-B145)</f>
        <v/>
      </c>
      <c r="K145" s="28">
        <f>IF(AND(G145="有",J145&lt;&gt;""),J145,"")</f>
        <v/>
      </c>
      <c r="L145" s="28">
        <f>IF(AND(G145="無",J145&lt;&gt;""),J145,"")</f>
        <v/>
      </c>
      <c r="M145" s="13" t="n"/>
    </row>
    <row r="146">
      <c r="A146" s="13" t="n"/>
      <c r="B146" s="14" t="n"/>
      <c r="C146" s="14" t="n"/>
      <c r="D146" s="14" t="n"/>
      <c r="E146" s="13" t="n"/>
      <c r="F146" s="13" t="n"/>
      <c r="G146" s="13" t="n"/>
      <c r="H146" s="13" t="n"/>
      <c r="I146" s="13" t="n"/>
      <c r="J146" s="28">
        <f>IF(OR(B146="",D146=""),"",D146-B146)</f>
        <v/>
      </c>
      <c r="K146" s="28">
        <f>IF(AND(G146="有",J146&lt;&gt;""),J146,"")</f>
        <v/>
      </c>
      <c r="L146" s="28">
        <f>IF(AND(G146="無",J146&lt;&gt;""),J146,"")</f>
        <v/>
      </c>
      <c r="M146" s="13" t="n"/>
    </row>
    <row r="147">
      <c r="A147" s="13" t="n"/>
      <c r="B147" s="14" t="n"/>
      <c r="C147" s="14" t="n"/>
      <c r="D147" s="14" t="n"/>
      <c r="E147" s="13" t="n"/>
      <c r="F147" s="13" t="n"/>
      <c r="G147" s="13" t="n"/>
      <c r="H147" s="13" t="n"/>
      <c r="I147" s="13" t="n"/>
      <c r="J147" s="28">
        <f>IF(OR(B147="",D147=""),"",D147-B147)</f>
        <v/>
      </c>
      <c r="K147" s="28">
        <f>IF(AND(G147="有",J147&lt;&gt;""),J147,"")</f>
        <v/>
      </c>
      <c r="L147" s="28">
        <f>IF(AND(G147="無",J147&lt;&gt;""),J147,"")</f>
        <v/>
      </c>
      <c r="M147" s="13" t="n"/>
    </row>
    <row r="148">
      <c r="A148" s="13" t="n"/>
      <c r="B148" s="14" t="n"/>
      <c r="C148" s="14" t="n"/>
      <c r="D148" s="14" t="n"/>
      <c r="E148" s="13" t="n"/>
      <c r="F148" s="13" t="n"/>
      <c r="G148" s="13" t="n"/>
      <c r="H148" s="13" t="n"/>
      <c r="I148" s="13" t="n"/>
      <c r="J148" s="28">
        <f>IF(OR(B148="",D148=""),"",D148-B148)</f>
        <v/>
      </c>
      <c r="K148" s="28">
        <f>IF(AND(G148="有",J148&lt;&gt;""),J148,"")</f>
        <v/>
      </c>
      <c r="L148" s="28">
        <f>IF(AND(G148="無",J148&lt;&gt;""),J148,"")</f>
        <v/>
      </c>
      <c r="M148" s="13" t="n"/>
    </row>
    <row r="149">
      <c r="A149" s="13" t="n"/>
      <c r="B149" s="14" t="n"/>
      <c r="C149" s="14" t="n"/>
      <c r="D149" s="14" t="n"/>
      <c r="E149" s="13" t="n"/>
      <c r="F149" s="13" t="n"/>
      <c r="G149" s="13" t="n"/>
      <c r="H149" s="13" t="n"/>
      <c r="I149" s="13" t="n"/>
      <c r="J149" s="28">
        <f>IF(OR(B149="",D149=""),"",D149-B149)</f>
        <v/>
      </c>
      <c r="K149" s="28">
        <f>IF(AND(G149="有",J149&lt;&gt;""),J149,"")</f>
        <v/>
      </c>
      <c r="L149" s="28">
        <f>IF(AND(G149="無",J149&lt;&gt;""),J149,"")</f>
        <v/>
      </c>
      <c r="M149" s="13" t="n"/>
    </row>
    <row r="150">
      <c r="A150" s="13" t="n"/>
      <c r="B150" s="14" t="n"/>
      <c r="C150" s="14" t="n"/>
      <c r="D150" s="14" t="n"/>
      <c r="E150" s="13" t="n"/>
      <c r="F150" s="13" t="n"/>
      <c r="G150" s="13" t="n"/>
      <c r="H150" s="13" t="n"/>
      <c r="I150" s="13" t="n"/>
      <c r="J150" s="28">
        <f>IF(OR(B150="",D150=""),"",D150-B150)</f>
        <v/>
      </c>
      <c r="K150" s="28">
        <f>IF(AND(G150="有",J150&lt;&gt;""),J150,"")</f>
        <v/>
      </c>
      <c r="L150" s="28">
        <f>IF(AND(G150="無",J150&lt;&gt;""),J150,"")</f>
        <v/>
      </c>
      <c r="M150" s="13" t="n"/>
    </row>
    <row r="151">
      <c r="A151" s="13" t="n"/>
      <c r="B151" s="14" t="n"/>
      <c r="C151" s="14" t="n"/>
      <c r="D151" s="14" t="n"/>
      <c r="E151" s="13" t="n"/>
      <c r="F151" s="13" t="n"/>
      <c r="G151" s="13" t="n"/>
      <c r="H151" s="13" t="n"/>
      <c r="I151" s="13" t="n"/>
      <c r="J151" s="28">
        <f>IF(OR(B151="",D151=""),"",D151-B151)</f>
        <v/>
      </c>
      <c r="K151" s="28">
        <f>IF(AND(G151="有",J151&lt;&gt;""),J151,"")</f>
        <v/>
      </c>
      <c r="L151" s="28">
        <f>IF(AND(G151="無",J151&lt;&gt;""),J151,"")</f>
        <v/>
      </c>
      <c r="M151" s="13" t="n"/>
    </row>
    <row r="152">
      <c r="A152" s="13" t="n"/>
      <c r="B152" s="14" t="n"/>
      <c r="C152" s="14" t="n"/>
      <c r="D152" s="14" t="n"/>
      <c r="E152" s="13" t="n"/>
      <c r="F152" s="13" t="n"/>
      <c r="G152" s="13" t="n"/>
      <c r="H152" s="13" t="n"/>
      <c r="I152" s="13" t="n"/>
      <c r="J152" s="28">
        <f>IF(OR(B152="",D152=""),"",D152-B152)</f>
        <v/>
      </c>
      <c r="K152" s="28">
        <f>IF(AND(G152="有",J152&lt;&gt;""),J152,"")</f>
        <v/>
      </c>
      <c r="L152" s="28">
        <f>IF(AND(G152="無",J152&lt;&gt;""),J152,"")</f>
        <v/>
      </c>
      <c r="M152" s="13" t="n"/>
    </row>
    <row r="153">
      <c r="A153" s="13" t="n"/>
      <c r="B153" s="14" t="n"/>
      <c r="C153" s="14" t="n"/>
      <c r="D153" s="14" t="n"/>
      <c r="E153" s="13" t="n"/>
      <c r="F153" s="13" t="n"/>
      <c r="G153" s="13" t="n"/>
      <c r="H153" s="13" t="n"/>
      <c r="I153" s="13" t="n"/>
      <c r="J153" s="28">
        <f>IF(OR(B153="",D153=""),"",D153-B153)</f>
        <v/>
      </c>
      <c r="K153" s="28">
        <f>IF(AND(G153="有",J153&lt;&gt;""),J153,"")</f>
        <v/>
      </c>
      <c r="L153" s="28">
        <f>IF(AND(G153="無",J153&lt;&gt;""),J153,"")</f>
        <v/>
      </c>
      <c r="M153" s="13" t="n"/>
    </row>
    <row r="154">
      <c r="A154" s="13" t="n"/>
      <c r="B154" s="14" t="n"/>
      <c r="C154" s="14" t="n"/>
      <c r="D154" s="14" t="n"/>
      <c r="E154" s="13" t="n"/>
      <c r="F154" s="13" t="n"/>
      <c r="G154" s="13" t="n"/>
      <c r="H154" s="13" t="n"/>
      <c r="I154" s="13" t="n"/>
      <c r="J154" s="28">
        <f>IF(OR(B154="",D154=""),"",D154-B154)</f>
        <v/>
      </c>
      <c r="K154" s="28">
        <f>IF(AND(G154="有",J154&lt;&gt;""),J154,"")</f>
        <v/>
      </c>
      <c r="L154" s="28">
        <f>IF(AND(G154="無",J154&lt;&gt;""),J154,"")</f>
        <v/>
      </c>
      <c r="M154" s="13" t="n"/>
    </row>
    <row r="155">
      <c r="A155" s="13" t="n"/>
      <c r="B155" s="14" t="n"/>
      <c r="C155" s="14" t="n"/>
      <c r="D155" s="14" t="n"/>
      <c r="E155" s="13" t="n"/>
      <c r="F155" s="13" t="n"/>
      <c r="G155" s="13" t="n"/>
      <c r="H155" s="13" t="n"/>
      <c r="I155" s="13" t="n"/>
      <c r="J155" s="28">
        <f>IF(OR(B155="",D155=""),"",D155-B155)</f>
        <v/>
      </c>
      <c r="K155" s="28">
        <f>IF(AND(G155="有",J155&lt;&gt;""),J155,"")</f>
        <v/>
      </c>
      <c r="L155" s="28">
        <f>IF(AND(G155="無",J155&lt;&gt;""),J155,"")</f>
        <v/>
      </c>
      <c r="M155" s="13" t="n"/>
    </row>
    <row r="156">
      <c r="A156" s="13" t="n"/>
      <c r="B156" s="14" t="n"/>
      <c r="C156" s="14" t="n"/>
      <c r="D156" s="14" t="n"/>
      <c r="E156" s="13" t="n"/>
      <c r="F156" s="13" t="n"/>
      <c r="G156" s="13" t="n"/>
      <c r="H156" s="13" t="n"/>
      <c r="I156" s="13" t="n"/>
      <c r="J156" s="28">
        <f>IF(OR(B156="",D156=""),"",D156-B156)</f>
        <v/>
      </c>
      <c r="K156" s="28">
        <f>IF(AND(G156="有",J156&lt;&gt;""),J156,"")</f>
        <v/>
      </c>
      <c r="L156" s="28">
        <f>IF(AND(G156="無",J156&lt;&gt;""),J156,"")</f>
        <v/>
      </c>
      <c r="M156" s="13" t="n"/>
    </row>
    <row r="157">
      <c r="A157" s="13" t="n"/>
      <c r="B157" s="14" t="n"/>
      <c r="C157" s="14" t="n"/>
      <c r="D157" s="14" t="n"/>
      <c r="E157" s="13" t="n"/>
      <c r="F157" s="13" t="n"/>
      <c r="G157" s="13" t="n"/>
      <c r="H157" s="13" t="n"/>
      <c r="I157" s="13" t="n"/>
      <c r="J157" s="28">
        <f>IF(OR(B157="",D157=""),"",D157-B157)</f>
        <v/>
      </c>
      <c r="K157" s="28">
        <f>IF(AND(G157="有",J157&lt;&gt;""),J157,"")</f>
        <v/>
      </c>
      <c r="L157" s="28">
        <f>IF(AND(G157="無",J157&lt;&gt;""),J157,"")</f>
        <v/>
      </c>
      <c r="M157" s="13" t="n"/>
    </row>
    <row r="158">
      <c r="A158" s="13" t="n"/>
      <c r="B158" s="14" t="n"/>
      <c r="C158" s="14" t="n"/>
      <c r="D158" s="14" t="n"/>
      <c r="E158" s="13" t="n"/>
      <c r="F158" s="13" t="n"/>
      <c r="G158" s="13" t="n"/>
      <c r="H158" s="13" t="n"/>
      <c r="I158" s="13" t="n"/>
      <c r="J158" s="28">
        <f>IF(OR(B158="",D158=""),"",D158-B158)</f>
        <v/>
      </c>
      <c r="K158" s="28">
        <f>IF(AND(G158="有",J158&lt;&gt;""),J158,"")</f>
        <v/>
      </c>
      <c r="L158" s="28">
        <f>IF(AND(G158="無",J158&lt;&gt;""),J158,"")</f>
        <v/>
      </c>
      <c r="M158" s="13" t="n"/>
    </row>
    <row r="159">
      <c r="A159" s="13" t="n"/>
      <c r="B159" s="14" t="n"/>
      <c r="C159" s="14" t="n"/>
      <c r="D159" s="14" t="n"/>
      <c r="E159" s="13" t="n"/>
      <c r="F159" s="13" t="n"/>
      <c r="G159" s="13" t="n"/>
      <c r="H159" s="13" t="n"/>
      <c r="I159" s="13" t="n"/>
      <c r="J159" s="28">
        <f>IF(OR(B159="",D159=""),"",D159-B159)</f>
        <v/>
      </c>
      <c r="K159" s="28">
        <f>IF(AND(G159="有",J159&lt;&gt;""),J159,"")</f>
        <v/>
      </c>
      <c r="L159" s="28">
        <f>IF(AND(G159="無",J159&lt;&gt;""),J159,"")</f>
        <v/>
      </c>
      <c r="M159" s="13" t="n"/>
    </row>
    <row r="160">
      <c r="A160" s="13" t="n"/>
      <c r="B160" s="14" t="n"/>
      <c r="C160" s="14" t="n"/>
      <c r="D160" s="14" t="n"/>
      <c r="E160" s="13" t="n"/>
      <c r="F160" s="13" t="n"/>
      <c r="G160" s="13" t="n"/>
      <c r="H160" s="13" t="n"/>
      <c r="I160" s="13" t="n"/>
      <c r="J160" s="28">
        <f>IF(OR(B160="",D160=""),"",D160-B160)</f>
        <v/>
      </c>
      <c r="K160" s="28">
        <f>IF(AND(G160="有",J160&lt;&gt;""),J160,"")</f>
        <v/>
      </c>
      <c r="L160" s="28">
        <f>IF(AND(G160="無",J160&lt;&gt;""),J160,"")</f>
        <v/>
      </c>
      <c r="M160" s="13" t="n"/>
    </row>
    <row r="161">
      <c r="A161" s="13" t="n"/>
      <c r="B161" s="14" t="n"/>
      <c r="C161" s="14" t="n"/>
      <c r="D161" s="14" t="n"/>
      <c r="E161" s="13" t="n"/>
      <c r="F161" s="13" t="n"/>
      <c r="G161" s="13" t="n"/>
      <c r="H161" s="13" t="n"/>
      <c r="I161" s="13" t="n"/>
      <c r="J161" s="28">
        <f>IF(OR(B161="",D161=""),"",D161-B161)</f>
        <v/>
      </c>
      <c r="K161" s="28">
        <f>IF(AND(G161="有",J161&lt;&gt;""),J161,"")</f>
        <v/>
      </c>
      <c r="L161" s="28">
        <f>IF(AND(G161="無",J161&lt;&gt;""),J161,"")</f>
        <v/>
      </c>
      <c r="M161" s="13" t="n"/>
    </row>
    <row r="162">
      <c r="A162" s="13" t="n"/>
      <c r="B162" s="14" t="n"/>
      <c r="C162" s="14" t="n"/>
      <c r="D162" s="14" t="n"/>
      <c r="E162" s="13" t="n"/>
      <c r="F162" s="13" t="n"/>
      <c r="G162" s="13" t="n"/>
      <c r="H162" s="13" t="n"/>
      <c r="I162" s="13" t="n"/>
      <c r="J162" s="28">
        <f>IF(OR(B162="",D162=""),"",D162-B162)</f>
        <v/>
      </c>
      <c r="K162" s="28">
        <f>IF(AND(G162="有",J162&lt;&gt;""),J162,"")</f>
        <v/>
      </c>
      <c r="L162" s="28">
        <f>IF(AND(G162="無",J162&lt;&gt;""),J162,"")</f>
        <v/>
      </c>
      <c r="M162" s="13" t="n"/>
    </row>
    <row r="163">
      <c r="A163" s="13" t="n"/>
      <c r="B163" s="14" t="n"/>
      <c r="C163" s="14" t="n"/>
      <c r="D163" s="14" t="n"/>
      <c r="E163" s="13" t="n"/>
      <c r="F163" s="13" t="n"/>
      <c r="G163" s="13" t="n"/>
      <c r="H163" s="13" t="n"/>
      <c r="I163" s="13" t="n"/>
      <c r="J163" s="28">
        <f>IF(OR(B163="",D163=""),"",D163-B163)</f>
        <v/>
      </c>
      <c r="K163" s="28">
        <f>IF(AND(G163="有",J163&lt;&gt;""),J163,"")</f>
        <v/>
      </c>
      <c r="L163" s="28">
        <f>IF(AND(G163="無",J163&lt;&gt;""),J163,"")</f>
        <v/>
      </c>
      <c r="M163" s="13" t="n"/>
    </row>
    <row r="164">
      <c r="A164" s="13" t="n"/>
      <c r="B164" s="14" t="n"/>
      <c r="C164" s="14" t="n"/>
      <c r="D164" s="14" t="n"/>
      <c r="E164" s="13" t="n"/>
      <c r="F164" s="13" t="n"/>
      <c r="G164" s="13" t="n"/>
      <c r="H164" s="13" t="n"/>
      <c r="I164" s="13" t="n"/>
      <c r="J164" s="28">
        <f>IF(OR(B164="",D164=""),"",D164-B164)</f>
        <v/>
      </c>
      <c r="K164" s="28">
        <f>IF(AND(G164="有",J164&lt;&gt;""),J164,"")</f>
        <v/>
      </c>
      <c r="L164" s="28">
        <f>IF(AND(G164="無",J164&lt;&gt;""),J164,"")</f>
        <v/>
      </c>
      <c r="M164" s="13" t="n"/>
    </row>
    <row r="165">
      <c r="A165" s="13" t="n"/>
      <c r="B165" s="14" t="n"/>
      <c r="C165" s="14" t="n"/>
      <c r="D165" s="14" t="n"/>
      <c r="E165" s="13" t="n"/>
      <c r="F165" s="13" t="n"/>
      <c r="G165" s="13" t="n"/>
      <c r="H165" s="13" t="n"/>
      <c r="I165" s="13" t="n"/>
      <c r="J165" s="28">
        <f>IF(OR(B165="",D165=""),"",D165-B165)</f>
        <v/>
      </c>
      <c r="K165" s="28">
        <f>IF(AND(G165="有",J165&lt;&gt;""),J165,"")</f>
        <v/>
      </c>
      <c r="L165" s="28">
        <f>IF(AND(G165="無",J165&lt;&gt;""),J165,"")</f>
        <v/>
      </c>
      <c r="M165" s="13" t="n"/>
    </row>
    <row r="166">
      <c r="A166" s="13" t="n"/>
      <c r="B166" s="14" t="n"/>
      <c r="C166" s="14" t="n"/>
      <c r="D166" s="14" t="n"/>
      <c r="E166" s="13" t="n"/>
      <c r="F166" s="13" t="n"/>
      <c r="G166" s="13" t="n"/>
      <c r="H166" s="13" t="n"/>
      <c r="I166" s="13" t="n"/>
      <c r="J166" s="28">
        <f>IF(OR(B166="",D166=""),"",D166-B166)</f>
        <v/>
      </c>
      <c r="K166" s="28">
        <f>IF(AND(G166="有",J166&lt;&gt;""),J166,"")</f>
        <v/>
      </c>
      <c r="L166" s="28">
        <f>IF(AND(G166="無",J166&lt;&gt;""),J166,"")</f>
        <v/>
      </c>
      <c r="M166" s="13" t="n"/>
    </row>
    <row r="167">
      <c r="A167" s="13" t="n"/>
      <c r="B167" s="14" t="n"/>
      <c r="C167" s="14" t="n"/>
      <c r="D167" s="14" t="n"/>
      <c r="E167" s="13" t="n"/>
      <c r="F167" s="13" t="n"/>
      <c r="G167" s="13" t="n"/>
      <c r="H167" s="13" t="n"/>
      <c r="I167" s="13" t="n"/>
      <c r="J167" s="28">
        <f>IF(OR(B167="",D167=""),"",D167-B167)</f>
        <v/>
      </c>
      <c r="K167" s="28">
        <f>IF(AND(G167="有",J167&lt;&gt;""),J167,"")</f>
        <v/>
      </c>
      <c r="L167" s="28">
        <f>IF(AND(G167="無",J167&lt;&gt;""),J167,"")</f>
        <v/>
      </c>
      <c r="M167" s="13" t="n"/>
    </row>
    <row r="168">
      <c r="A168" s="13" t="n"/>
      <c r="B168" s="14" t="n"/>
      <c r="C168" s="14" t="n"/>
      <c r="D168" s="14" t="n"/>
      <c r="E168" s="13" t="n"/>
      <c r="F168" s="13" t="n"/>
      <c r="G168" s="13" t="n"/>
      <c r="H168" s="13" t="n"/>
      <c r="I168" s="13" t="n"/>
      <c r="J168" s="28">
        <f>IF(OR(B168="",D168=""),"",D168-B168)</f>
        <v/>
      </c>
      <c r="K168" s="28">
        <f>IF(AND(G168="有",J168&lt;&gt;""),J168,"")</f>
        <v/>
      </c>
      <c r="L168" s="28">
        <f>IF(AND(G168="無",J168&lt;&gt;""),J168,"")</f>
        <v/>
      </c>
      <c r="M168" s="13" t="n"/>
    </row>
    <row r="169">
      <c r="A169" s="13" t="n"/>
      <c r="B169" s="14" t="n"/>
      <c r="C169" s="14" t="n"/>
      <c r="D169" s="14" t="n"/>
      <c r="E169" s="13" t="n"/>
      <c r="F169" s="13" t="n"/>
      <c r="G169" s="13" t="n"/>
      <c r="H169" s="13" t="n"/>
      <c r="I169" s="13" t="n"/>
      <c r="J169" s="28">
        <f>IF(OR(B169="",D169=""),"",D169-B169)</f>
        <v/>
      </c>
      <c r="K169" s="28">
        <f>IF(AND(G169="有",J169&lt;&gt;""),J169,"")</f>
        <v/>
      </c>
      <c r="L169" s="28">
        <f>IF(AND(G169="無",J169&lt;&gt;""),J169,"")</f>
        <v/>
      </c>
      <c r="M169" s="13" t="n"/>
    </row>
    <row r="170">
      <c r="A170" s="13" t="n"/>
      <c r="B170" s="14" t="n"/>
      <c r="C170" s="14" t="n"/>
      <c r="D170" s="14" t="n"/>
      <c r="E170" s="13" t="n"/>
      <c r="F170" s="13" t="n"/>
      <c r="G170" s="13" t="n"/>
      <c r="H170" s="13" t="n"/>
      <c r="I170" s="13" t="n"/>
      <c r="J170" s="28">
        <f>IF(OR(B170="",D170=""),"",D170-B170)</f>
        <v/>
      </c>
      <c r="K170" s="28">
        <f>IF(AND(G170="有",J170&lt;&gt;""),J170,"")</f>
        <v/>
      </c>
      <c r="L170" s="28">
        <f>IF(AND(G170="無",J170&lt;&gt;""),J170,"")</f>
        <v/>
      </c>
      <c r="M170" s="13" t="n"/>
    </row>
    <row r="171">
      <c r="A171" s="13" t="n"/>
      <c r="B171" s="14" t="n"/>
      <c r="C171" s="14" t="n"/>
      <c r="D171" s="14" t="n"/>
      <c r="E171" s="13" t="n"/>
      <c r="F171" s="13" t="n"/>
      <c r="G171" s="13" t="n"/>
      <c r="H171" s="13" t="n"/>
      <c r="I171" s="13" t="n"/>
      <c r="J171" s="28">
        <f>IF(OR(B171="",D171=""),"",D171-B171)</f>
        <v/>
      </c>
      <c r="K171" s="28">
        <f>IF(AND(G171="有",J171&lt;&gt;""),J171,"")</f>
        <v/>
      </c>
      <c r="L171" s="28">
        <f>IF(AND(G171="無",J171&lt;&gt;""),J171,"")</f>
        <v/>
      </c>
      <c r="M171" s="13" t="n"/>
    </row>
    <row r="172">
      <c r="A172" s="13" t="n"/>
      <c r="B172" s="14" t="n"/>
      <c r="C172" s="14" t="n"/>
      <c r="D172" s="14" t="n"/>
      <c r="E172" s="13" t="n"/>
      <c r="F172" s="13" t="n"/>
      <c r="G172" s="13" t="n"/>
      <c r="H172" s="13" t="n"/>
      <c r="I172" s="13" t="n"/>
      <c r="J172" s="28">
        <f>IF(OR(B172="",D172=""),"",D172-B172)</f>
        <v/>
      </c>
      <c r="K172" s="28">
        <f>IF(AND(G172="有",J172&lt;&gt;""),J172,"")</f>
        <v/>
      </c>
      <c r="L172" s="28">
        <f>IF(AND(G172="無",J172&lt;&gt;""),J172,"")</f>
        <v/>
      </c>
      <c r="M172" s="13" t="n"/>
    </row>
    <row r="173">
      <c r="A173" s="13" t="n"/>
      <c r="B173" s="14" t="n"/>
      <c r="C173" s="14" t="n"/>
      <c r="D173" s="14" t="n"/>
      <c r="E173" s="13" t="n"/>
      <c r="F173" s="13" t="n"/>
      <c r="G173" s="13" t="n"/>
      <c r="H173" s="13" t="n"/>
      <c r="I173" s="13" t="n"/>
      <c r="J173" s="28">
        <f>IF(OR(B173="",D173=""),"",D173-B173)</f>
        <v/>
      </c>
      <c r="K173" s="28">
        <f>IF(AND(G173="有",J173&lt;&gt;""),J173,"")</f>
        <v/>
      </c>
      <c r="L173" s="28">
        <f>IF(AND(G173="無",J173&lt;&gt;""),J173,"")</f>
        <v/>
      </c>
      <c r="M173" s="13" t="n"/>
    </row>
    <row r="174">
      <c r="A174" s="13" t="n"/>
      <c r="B174" s="14" t="n"/>
      <c r="C174" s="14" t="n"/>
      <c r="D174" s="14" t="n"/>
      <c r="E174" s="13" t="n"/>
      <c r="F174" s="13" t="n"/>
      <c r="G174" s="13" t="n"/>
      <c r="H174" s="13" t="n"/>
      <c r="I174" s="13" t="n"/>
      <c r="J174" s="28">
        <f>IF(OR(B174="",D174=""),"",D174-B174)</f>
        <v/>
      </c>
      <c r="K174" s="28">
        <f>IF(AND(G174="有",J174&lt;&gt;""),J174,"")</f>
        <v/>
      </c>
      <c r="L174" s="28">
        <f>IF(AND(G174="無",J174&lt;&gt;""),J174,"")</f>
        <v/>
      </c>
      <c r="M174" s="13" t="n"/>
    </row>
    <row r="175">
      <c r="A175" s="13" t="n"/>
      <c r="B175" s="14" t="n"/>
      <c r="C175" s="14" t="n"/>
      <c r="D175" s="14" t="n"/>
      <c r="E175" s="13" t="n"/>
      <c r="F175" s="13" t="n"/>
      <c r="G175" s="13" t="n"/>
      <c r="H175" s="13" t="n"/>
      <c r="I175" s="13" t="n"/>
      <c r="J175" s="28">
        <f>IF(OR(B175="",D175=""),"",D175-B175)</f>
        <v/>
      </c>
      <c r="K175" s="28">
        <f>IF(AND(G175="有",J175&lt;&gt;""),J175,"")</f>
        <v/>
      </c>
      <c r="L175" s="28">
        <f>IF(AND(G175="無",J175&lt;&gt;""),J175,"")</f>
        <v/>
      </c>
      <c r="M175" s="13" t="n"/>
    </row>
    <row r="176">
      <c r="A176" s="13" t="n"/>
      <c r="B176" s="14" t="n"/>
      <c r="C176" s="14" t="n"/>
      <c r="D176" s="14" t="n"/>
      <c r="E176" s="13" t="n"/>
      <c r="F176" s="13" t="n"/>
      <c r="G176" s="13" t="n"/>
      <c r="H176" s="13" t="n"/>
      <c r="I176" s="13" t="n"/>
      <c r="J176" s="28">
        <f>IF(OR(B176="",D176=""),"",D176-B176)</f>
        <v/>
      </c>
      <c r="K176" s="28">
        <f>IF(AND(G176="有",J176&lt;&gt;""),J176,"")</f>
        <v/>
      </c>
      <c r="L176" s="28">
        <f>IF(AND(G176="無",J176&lt;&gt;""),J176,"")</f>
        <v/>
      </c>
      <c r="M176" s="13" t="n"/>
    </row>
    <row r="177">
      <c r="A177" s="13" t="n"/>
      <c r="B177" s="14" t="n"/>
      <c r="C177" s="14" t="n"/>
      <c r="D177" s="14" t="n"/>
      <c r="E177" s="13" t="n"/>
      <c r="F177" s="13" t="n"/>
      <c r="G177" s="13" t="n"/>
      <c r="H177" s="13" t="n"/>
      <c r="I177" s="13" t="n"/>
      <c r="J177" s="28">
        <f>IF(OR(B177="",D177=""),"",D177-B177)</f>
        <v/>
      </c>
      <c r="K177" s="28">
        <f>IF(AND(G177="有",J177&lt;&gt;""),J177,"")</f>
        <v/>
      </c>
      <c r="L177" s="28">
        <f>IF(AND(G177="無",J177&lt;&gt;""),J177,"")</f>
        <v/>
      </c>
      <c r="M177" s="13" t="n"/>
    </row>
    <row r="178">
      <c r="A178" s="13" t="n"/>
      <c r="B178" s="14" t="n"/>
      <c r="C178" s="14" t="n"/>
      <c r="D178" s="14" t="n"/>
      <c r="E178" s="13" t="n"/>
      <c r="F178" s="13" t="n"/>
      <c r="G178" s="13" t="n"/>
      <c r="H178" s="13" t="n"/>
      <c r="I178" s="13" t="n"/>
      <c r="J178" s="28">
        <f>IF(OR(B178="",D178=""),"",D178-B178)</f>
        <v/>
      </c>
      <c r="K178" s="28">
        <f>IF(AND(G178="有",J178&lt;&gt;""),J178,"")</f>
        <v/>
      </c>
      <c r="L178" s="28">
        <f>IF(AND(G178="無",J178&lt;&gt;""),J178,"")</f>
        <v/>
      </c>
      <c r="M178" s="13" t="n"/>
    </row>
    <row r="179">
      <c r="A179" s="13" t="n"/>
      <c r="B179" s="14" t="n"/>
      <c r="C179" s="14" t="n"/>
      <c r="D179" s="14" t="n"/>
      <c r="E179" s="13" t="n"/>
      <c r="F179" s="13" t="n"/>
      <c r="G179" s="13" t="n"/>
      <c r="H179" s="13" t="n"/>
      <c r="I179" s="13" t="n"/>
      <c r="J179" s="28">
        <f>IF(OR(B179="",D179=""),"",D179-B179)</f>
        <v/>
      </c>
      <c r="K179" s="28">
        <f>IF(AND(G179="有",J179&lt;&gt;""),J179,"")</f>
        <v/>
      </c>
      <c r="L179" s="28">
        <f>IF(AND(G179="無",J179&lt;&gt;""),J179,"")</f>
        <v/>
      </c>
      <c r="M179" s="13" t="n"/>
    </row>
    <row r="180">
      <c r="A180" s="13" t="n"/>
      <c r="B180" s="14" t="n"/>
      <c r="C180" s="14" t="n"/>
      <c r="D180" s="14" t="n"/>
      <c r="E180" s="13" t="n"/>
      <c r="F180" s="13" t="n"/>
      <c r="G180" s="13" t="n"/>
      <c r="H180" s="13" t="n"/>
      <c r="I180" s="13" t="n"/>
      <c r="J180" s="28">
        <f>IF(OR(B180="",D180=""),"",D180-B180)</f>
        <v/>
      </c>
      <c r="K180" s="28">
        <f>IF(AND(G180="有",J180&lt;&gt;""),J180,"")</f>
        <v/>
      </c>
      <c r="L180" s="28">
        <f>IF(AND(G180="無",J180&lt;&gt;""),J180,"")</f>
        <v/>
      </c>
      <c r="M180" s="13" t="n"/>
    </row>
    <row r="181">
      <c r="A181" s="13" t="n"/>
      <c r="B181" s="14" t="n"/>
      <c r="C181" s="14" t="n"/>
      <c r="D181" s="14" t="n"/>
      <c r="E181" s="13" t="n"/>
      <c r="F181" s="13" t="n"/>
      <c r="G181" s="13" t="n"/>
      <c r="H181" s="13" t="n"/>
      <c r="I181" s="13" t="n"/>
      <c r="J181" s="28">
        <f>IF(OR(B181="",D181=""),"",D181-B181)</f>
        <v/>
      </c>
      <c r="K181" s="28">
        <f>IF(AND(G181="有",J181&lt;&gt;""),J181,"")</f>
        <v/>
      </c>
      <c r="L181" s="28">
        <f>IF(AND(G181="無",J181&lt;&gt;""),J181,"")</f>
        <v/>
      </c>
      <c r="M181" s="13" t="n"/>
    </row>
    <row r="182">
      <c r="A182" s="13" t="n"/>
      <c r="B182" s="14" t="n"/>
      <c r="C182" s="14" t="n"/>
      <c r="D182" s="14" t="n"/>
      <c r="E182" s="13" t="n"/>
      <c r="F182" s="13" t="n"/>
      <c r="G182" s="13" t="n"/>
      <c r="H182" s="13" t="n"/>
      <c r="I182" s="13" t="n"/>
      <c r="J182" s="28">
        <f>IF(OR(B182="",D182=""),"",D182-B182)</f>
        <v/>
      </c>
      <c r="K182" s="28">
        <f>IF(AND(G182="有",J182&lt;&gt;""),J182,"")</f>
        <v/>
      </c>
      <c r="L182" s="28">
        <f>IF(AND(G182="無",J182&lt;&gt;""),J182,"")</f>
        <v/>
      </c>
      <c r="M182" s="13" t="n"/>
    </row>
    <row r="183">
      <c r="A183" s="13" t="n"/>
      <c r="B183" s="14" t="n"/>
      <c r="C183" s="14" t="n"/>
      <c r="D183" s="14" t="n"/>
      <c r="E183" s="13" t="n"/>
      <c r="F183" s="13" t="n"/>
      <c r="G183" s="13" t="n"/>
      <c r="H183" s="13" t="n"/>
      <c r="I183" s="13" t="n"/>
      <c r="J183" s="28">
        <f>IF(OR(B183="",D183=""),"",D183-B183)</f>
        <v/>
      </c>
      <c r="K183" s="28">
        <f>IF(AND(G183="有",J183&lt;&gt;""),J183,"")</f>
        <v/>
      </c>
      <c r="L183" s="28">
        <f>IF(AND(G183="無",J183&lt;&gt;""),J183,"")</f>
        <v/>
      </c>
      <c r="M183" s="13" t="n"/>
    </row>
    <row r="184">
      <c r="A184" s="13" t="n"/>
      <c r="B184" s="14" t="n"/>
      <c r="C184" s="14" t="n"/>
      <c r="D184" s="14" t="n"/>
      <c r="E184" s="13" t="n"/>
      <c r="F184" s="13" t="n"/>
      <c r="G184" s="13" t="n"/>
      <c r="H184" s="13" t="n"/>
      <c r="I184" s="13" t="n"/>
      <c r="J184" s="28">
        <f>IF(OR(B184="",D184=""),"",D184-B184)</f>
        <v/>
      </c>
      <c r="K184" s="28">
        <f>IF(AND(G184="有",J184&lt;&gt;""),J184,"")</f>
        <v/>
      </c>
      <c r="L184" s="28">
        <f>IF(AND(G184="無",J184&lt;&gt;""),J184,"")</f>
        <v/>
      </c>
      <c r="M184" s="13" t="n"/>
    </row>
    <row r="185">
      <c r="A185" s="13" t="n"/>
      <c r="B185" s="14" t="n"/>
      <c r="C185" s="14" t="n"/>
      <c r="D185" s="14" t="n"/>
      <c r="E185" s="13" t="n"/>
      <c r="F185" s="13" t="n"/>
      <c r="G185" s="13" t="n"/>
      <c r="H185" s="13" t="n"/>
      <c r="I185" s="13" t="n"/>
      <c r="J185" s="28">
        <f>IF(OR(B185="",D185=""),"",D185-B185)</f>
        <v/>
      </c>
      <c r="K185" s="28">
        <f>IF(AND(G185="有",J185&lt;&gt;""),J185,"")</f>
        <v/>
      </c>
      <c r="L185" s="28">
        <f>IF(AND(G185="無",J185&lt;&gt;""),J185,"")</f>
        <v/>
      </c>
      <c r="M185" s="13" t="n"/>
    </row>
    <row r="186">
      <c r="A186" s="13" t="n"/>
      <c r="B186" s="14" t="n"/>
      <c r="C186" s="14" t="n"/>
      <c r="D186" s="14" t="n"/>
      <c r="E186" s="13" t="n"/>
      <c r="F186" s="13" t="n"/>
      <c r="G186" s="13" t="n"/>
      <c r="H186" s="13" t="n"/>
      <c r="I186" s="13" t="n"/>
      <c r="J186" s="28">
        <f>IF(OR(B186="",D186=""),"",D186-B186)</f>
        <v/>
      </c>
      <c r="K186" s="28">
        <f>IF(AND(G186="有",J186&lt;&gt;""),J186,"")</f>
        <v/>
      </c>
      <c r="L186" s="28">
        <f>IF(AND(G186="無",J186&lt;&gt;""),J186,"")</f>
        <v/>
      </c>
      <c r="M186" s="13" t="n"/>
    </row>
    <row r="187">
      <c r="A187" s="13" t="n"/>
      <c r="B187" s="14" t="n"/>
      <c r="C187" s="14" t="n"/>
      <c r="D187" s="14" t="n"/>
      <c r="E187" s="13" t="n"/>
      <c r="F187" s="13" t="n"/>
      <c r="G187" s="13" t="n"/>
      <c r="H187" s="13" t="n"/>
      <c r="I187" s="13" t="n"/>
      <c r="J187" s="28">
        <f>IF(OR(B187="",D187=""),"",D187-B187)</f>
        <v/>
      </c>
      <c r="K187" s="28">
        <f>IF(AND(G187="有",J187&lt;&gt;""),J187,"")</f>
        <v/>
      </c>
      <c r="L187" s="28">
        <f>IF(AND(G187="無",J187&lt;&gt;""),J187,"")</f>
        <v/>
      </c>
      <c r="M187" s="13" t="n"/>
    </row>
    <row r="188">
      <c r="A188" s="13" t="n"/>
      <c r="B188" s="14" t="n"/>
      <c r="C188" s="14" t="n"/>
      <c r="D188" s="14" t="n"/>
      <c r="E188" s="13" t="n"/>
      <c r="F188" s="13" t="n"/>
      <c r="G188" s="13" t="n"/>
      <c r="H188" s="13" t="n"/>
      <c r="I188" s="13" t="n"/>
      <c r="J188" s="28">
        <f>IF(OR(B188="",D188=""),"",D188-B188)</f>
        <v/>
      </c>
      <c r="K188" s="28">
        <f>IF(AND(G188="有",J188&lt;&gt;""),J188,"")</f>
        <v/>
      </c>
      <c r="L188" s="28">
        <f>IF(AND(G188="無",J188&lt;&gt;""),J188,"")</f>
        <v/>
      </c>
      <c r="M188" s="13" t="n"/>
    </row>
    <row r="189">
      <c r="A189" s="13" t="n"/>
      <c r="B189" s="14" t="n"/>
      <c r="C189" s="14" t="n"/>
      <c r="D189" s="14" t="n"/>
      <c r="E189" s="13" t="n"/>
      <c r="F189" s="13" t="n"/>
      <c r="G189" s="13" t="n"/>
      <c r="H189" s="13" t="n"/>
      <c r="I189" s="13" t="n"/>
      <c r="J189" s="28">
        <f>IF(OR(B189="",D189=""),"",D189-B189)</f>
        <v/>
      </c>
      <c r="K189" s="28">
        <f>IF(AND(G189="有",J189&lt;&gt;""),J189,"")</f>
        <v/>
      </c>
      <c r="L189" s="28">
        <f>IF(AND(G189="無",J189&lt;&gt;""),J189,"")</f>
        <v/>
      </c>
      <c r="M189" s="13" t="n"/>
    </row>
    <row r="190">
      <c r="A190" s="13" t="n"/>
      <c r="B190" s="14" t="n"/>
      <c r="C190" s="14" t="n"/>
      <c r="D190" s="14" t="n"/>
      <c r="E190" s="13" t="n"/>
      <c r="F190" s="13" t="n"/>
      <c r="G190" s="13" t="n"/>
      <c r="H190" s="13" t="n"/>
      <c r="I190" s="13" t="n"/>
      <c r="J190" s="28">
        <f>IF(OR(B190="",D190=""),"",D190-B190)</f>
        <v/>
      </c>
      <c r="K190" s="28">
        <f>IF(AND(G190="有",J190&lt;&gt;""),J190,"")</f>
        <v/>
      </c>
      <c r="L190" s="28">
        <f>IF(AND(G190="無",J190&lt;&gt;""),J190,"")</f>
        <v/>
      </c>
      <c r="M190" s="13" t="n"/>
    </row>
    <row r="191">
      <c r="A191" s="13" t="n"/>
      <c r="B191" s="14" t="n"/>
      <c r="C191" s="14" t="n"/>
      <c r="D191" s="14" t="n"/>
      <c r="E191" s="13" t="n"/>
      <c r="F191" s="13" t="n"/>
      <c r="G191" s="13" t="n"/>
      <c r="H191" s="13" t="n"/>
      <c r="I191" s="13" t="n"/>
      <c r="J191" s="28">
        <f>IF(OR(B191="",D191=""),"",D191-B191)</f>
        <v/>
      </c>
      <c r="K191" s="28">
        <f>IF(AND(G191="有",J191&lt;&gt;""),J191,"")</f>
        <v/>
      </c>
      <c r="L191" s="28">
        <f>IF(AND(G191="無",J191&lt;&gt;""),J191,"")</f>
        <v/>
      </c>
      <c r="M191" s="13" t="n"/>
    </row>
    <row r="192">
      <c r="A192" s="13" t="n"/>
      <c r="B192" s="14" t="n"/>
      <c r="C192" s="14" t="n"/>
      <c r="D192" s="14" t="n"/>
      <c r="E192" s="13" t="n"/>
      <c r="F192" s="13" t="n"/>
      <c r="G192" s="13" t="n"/>
      <c r="H192" s="13" t="n"/>
      <c r="I192" s="13" t="n"/>
      <c r="J192" s="28">
        <f>IF(OR(B192="",D192=""),"",D192-B192)</f>
        <v/>
      </c>
      <c r="K192" s="28">
        <f>IF(AND(G192="有",J192&lt;&gt;""),J192,"")</f>
        <v/>
      </c>
      <c r="L192" s="28">
        <f>IF(AND(G192="無",J192&lt;&gt;""),J192,"")</f>
        <v/>
      </c>
      <c r="M192" s="13" t="n"/>
    </row>
    <row r="193">
      <c r="A193" s="13" t="n"/>
      <c r="B193" s="14" t="n"/>
      <c r="C193" s="14" t="n"/>
      <c r="D193" s="14" t="n"/>
      <c r="E193" s="13" t="n"/>
      <c r="F193" s="13" t="n"/>
      <c r="G193" s="13" t="n"/>
      <c r="H193" s="13" t="n"/>
      <c r="I193" s="13" t="n"/>
      <c r="J193" s="28">
        <f>IF(OR(B193="",D193=""),"",D193-B193)</f>
        <v/>
      </c>
      <c r="K193" s="28">
        <f>IF(AND(G193="有",J193&lt;&gt;""),J193,"")</f>
        <v/>
      </c>
      <c r="L193" s="28">
        <f>IF(AND(G193="無",J193&lt;&gt;""),J193,"")</f>
        <v/>
      </c>
      <c r="M193" s="13" t="n"/>
    </row>
    <row r="194">
      <c r="A194" s="13" t="n"/>
      <c r="B194" s="14" t="n"/>
      <c r="C194" s="14" t="n"/>
      <c r="D194" s="14" t="n"/>
      <c r="E194" s="13" t="n"/>
      <c r="F194" s="13" t="n"/>
      <c r="G194" s="13" t="n"/>
      <c r="H194" s="13" t="n"/>
      <c r="I194" s="13" t="n"/>
      <c r="J194" s="28">
        <f>IF(OR(B194="",D194=""),"",D194-B194)</f>
        <v/>
      </c>
      <c r="K194" s="28">
        <f>IF(AND(G194="有",J194&lt;&gt;""),J194,"")</f>
        <v/>
      </c>
      <c r="L194" s="28">
        <f>IF(AND(G194="無",J194&lt;&gt;""),J194,"")</f>
        <v/>
      </c>
      <c r="M194" s="13" t="n"/>
    </row>
    <row r="195">
      <c r="A195" s="13" t="n"/>
      <c r="B195" s="14" t="n"/>
      <c r="C195" s="14" t="n"/>
      <c r="D195" s="14" t="n"/>
      <c r="E195" s="13" t="n"/>
      <c r="F195" s="13" t="n"/>
      <c r="G195" s="13" t="n"/>
      <c r="H195" s="13" t="n"/>
      <c r="I195" s="13" t="n"/>
      <c r="J195" s="28">
        <f>IF(OR(B195="",D195=""),"",D195-B195)</f>
        <v/>
      </c>
      <c r="K195" s="28">
        <f>IF(AND(G195="有",J195&lt;&gt;""),J195,"")</f>
        <v/>
      </c>
      <c r="L195" s="28">
        <f>IF(AND(G195="無",J195&lt;&gt;""),J195,"")</f>
        <v/>
      </c>
      <c r="M195" s="13" t="n"/>
    </row>
    <row r="196">
      <c r="A196" s="13" t="n"/>
      <c r="B196" s="14" t="n"/>
      <c r="C196" s="14" t="n"/>
      <c r="D196" s="14" t="n"/>
      <c r="E196" s="13" t="n"/>
      <c r="F196" s="13" t="n"/>
      <c r="G196" s="13" t="n"/>
      <c r="H196" s="13" t="n"/>
      <c r="I196" s="13" t="n"/>
      <c r="J196" s="28">
        <f>IF(OR(B196="",D196=""),"",D196-B196)</f>
        <v/>
      </c>
      <c r="K196" s="28">
        <f>IF(AND(G196="有",J196&lt;&gt;""),J196,"")</f>
        <v/>
      </c>
      <c r="L196" s="28">
        <f>IF(AND(G196="無",J196&lt;&gt;""),J196,"")</f>
        <v/>
      </c>
      <c r="M196" s="13" t="n"/>
    </row>
    <row r="197">
      <c r="A197" s="13" t="n"/>
      <c r="B197" s="14" t="n"/>
      <c r="C197" s="14" t="n"/>
      <c r="D197" s="14" t="n"/>
      <c r="E197" s="13" t="n"/>
      <c r="F197" s="13" t="n"/>
      <c r="G197" s="13" t="n"/>
      <c r="H197" s="13" t="n"/>
      <c r="I197" s="13" t="n"/>
      <c r="J197" s="28">
        <f>IF(OR(B197="",D197=""),"",D197-B197)</f>
        <v/>
      </c>
      <c r="K197" s="28">
        <f>IF(AND(G197="有",J197&lt;&gt;""),J197,"")</f>
        <v/>
      </c>
      <c r="L197" s="28">
        <f>IF(AND(G197="無",J197&lt;&gt;""),J197,"")</f>
        <v/>
      </c>
      <c r="M197" s="13" t="n"/>
    </row>
    <row r="198">
      <c r="A198" s="13" t="n"/>
      <c r="B198" s="14" t="n"/>
      <c r="C198" s="14" t="n"/>
      <c r="D198" s="14" t="n"/>
      <c r="E198" s="13" t="n"/>
      <c r="F198" s="13" t="n"/>
      <c r="G198" s="13" t="n"/>
      <c r="H198" s="13" t="n"/>
      <c r="I198" s="13" t="n"/>
      <c r="J198" s="28">
        <f>IF(OR(B198="",D198=""),"",D198-B198)</f>
        <v/>
      </c>
      <c r="K198" s="28">
        <f>IF(AND(G198="有",J198&lt;&gt;""),J198,"")</f>
        <v/>
      </c>
      <c r="L198" s="28">
        <f>IF(AND(G198="無",J198&lt;&gt;""),J198,"")</f>
        <v/>
      </c>
      <c r="M198" s="13" t="n"/>
    </row>
    <row r="199">
      <c r="A199" s="13" t="n"/>
      <c r="B199" s="14" t="n"/>
      <c r="C199" s="14" t="n"/>
      <c r="D199" s="14" t="n"/>
      <c r="E199" s="13" t="n"/>
      <c r="F199" s="13" t="n"/>
      <c r="G199" s="13" t="n"/>
      <c r="H199" s="13" t="n"/>
      <c r="I199" s="13" t="n"/>
      <c r="J199" s="28">
        <f>IF(OR(B199="",D199=""),"",D199-B199)</f>
        <v/>
      </c>
      <c r="K199" s="28">
        <f>IF(AND(G199="有",J199&lt;&gt;""),J199,"")</f>
        <v/>
      </c>
      <c r="L199" s="28">
        <f>IF(AND(G199="無",J199&lt;&gt;""),J199,"")</f>
        <v/>
      </c>
      <c r="M199" s="13" t="n"/>
    </row>
    <row r="200">
      <c r="A200" s="13" t="n"/>
      <c r="B200" s="14" t="n"/>
      <c r="C200" s="14" t="n"/>
      <c r="D200" s="14" t="n"/>
      <c r="E200" s="13" t="n"/>
      <c r="F200" s="13" t="n"/>
      <c r="G200" s="13" t="n"/>
      <c r="H200" s="13" t="n"/>
      <c r="I200" s="13" t="n"/>
      <c r="J200" s="28">
        <f>IF(OR(B200="",D200=""),"",D200-B200)</f>
        <v/>
      </c>
      <c r="K200" s="28">
        <f>IF(AND(G200="有",J200&lt;&gt;""),J200,"")</f>
        <v/>
      </c>
      <c r="L200" s="28">
        <f>IF(AND(G200="無",J200&lt;&gt;""),J200,"")</f>
        <v/>
      </c>
      <c r="M200" s="13" t="n"/>
    </row>
    <row r="201">
      <c r="A201" s="13" t="n"/>
      <c r="B201" s="14" t="n"/>
      <c r="C201" s="14" t="n"/>
      <c r="D201" s="14" t="n"/>
      <c r="E201" s="13" t="n"/>
      <c r="F201" s="13" t="n"/>
      <c r="G201" s="13" t="n"/>
      <c r="H201" s="13" t="n"/>
      <c r="I201" s="13" t="n"/>
      <c r="J201" s="28">
        <f>IF(OR(B201="",D201=""),"",D201-B201)</f>
        <v/>
      </c>
      <c r="K201" s="28">
        <f>IF(AND(G201="有",J201&lt;&gt;""),J201,"")</f>
        <v/>
      </c>
      <c r="L201" s="28">
        <f>IF(AND(G201="無",J201&lt;&gt;""),J201,"")</f>
        <v/>
      </c>
      <c r="M201" s="13" t="n"/>
    </row>
    <row r="202">
      <c r="A202" s="13" t="n"/>
      <c r="B202" s="14" t="n"/>
      <c r="C202" s="14" t="n"/>
      <c r="D202" s="14" t="n"/>
      <c r="E202" s="13" t="n"/>
      <c r="F202" s="13" t="n"/>
      <c r="G202" s="13" t="n"/>
      <c r="H202" s="13" t="n"/>
      <c r="I202" s="13" t="n"/>
      <c r="J202" s="28">
        <f>IF(OR(B202="",D202=""),"",D202-B202)</f>
        <v/>
      </c>
      <c r="K202" s="28">
        <f>IF(AND(G202="有",J202&lt;&gt;""),J202,"")</f>
        <v/>
      </c>
      <c r="L202" s="28">
        <f>IF(AND(G202="無",J202&lt;&gt;""),J202,"")</f>
        <v/>
      </c>
      <c r="M202" s="13" t="n"/>
    </row>
    <row r="203">
      <c r="A203" s="13" t="n"/>
      <c r="B203" s="14" t="n"/>
      <c r="C203" s="14" t="n"/>
      <c r="D203" s="14" t="n"/>
      <c r="E203" s="13" t="n"/>
      <c r="F203" s="13" t="n"/>
      <c r="G203" s="13" t="n"/>
      <c r="H203" s="13" t="n"/>
      <c r="I203" s="13" t="n"/>
      <c r="J203" s="28">
        <f>IF(OR(B203="",D203=""),"",D203-B203)</f>
        <v/>
      </c>
      <c r="K203" s="28">
        <f>IF(AND(G203="有",J203&lt;&gt;""),J203,"")</f>
        <v/>
      </c>
      <c r="L203" s="28">
        <f>IF(AND(G203="無",J203&lt;&gt;""),J203,"")</f>
        <v/>
      </c>
      <c r="M203" s="13" t="n"/>
    </row>
    <row r="204">
      <c r="A204" s="13" t="n"/>
      <c r="B204" s="14" t="n"/>
      <c r="C204" s="14" t="n"/>
      <c r="D204" s="14" t="n"/>
      <c r="E204" s="13" t="n"/>
      <c r="F204" s="13" t="n"/>
      <c r="G204" s="13" t="n"/>
      <c r="H204" s="13" t="n"/>
      <c r="I204" s="13" t="n"/>
      <c r="J204" s="28">
        <f>IF(OR(B204="",D204=""),"",D204-B204)</f>
        <v/>
      </c>
      <c r="K204" s="28">
        <f>IF(AND(G204="有",J204&lt;&gt;""),J204,"")</f>
        <v/>
      </c>
      <c r="L204" s="28">
        <f>IF(AND(G204="無",J204&lt;&gt;""),J204,"")</f>
        <v/>
      </c>
      <c r="M204" s="13" t="n"/>
    </row>
    <row r="205">
      <c r="A205" s="13" t="n"/>
      <c r="B205" s="14" t="n"/>
      <c r="C205" s="14" t="n"/>
      <c r="D205" s="14" t="n"/>
      <c r="E205" s="13" t="n"/>
      <c r="F205" s="13" t="n"/>
      <c r="G205" s="13" t="n"/>
      <c r="H205" s="13" t="n"/>
      <c r="I205" s="13" t="n"/>
      <c r="J205" s="28">
        <f>IF(OR(B205="",D205=""),"",D205-B205)</f>
        <v/>
      </c>
      <c r="K205" s="28">
        <f>IF(AND(G205="有",J205&lt;&gt;""),J205,"")</f>
        <v/>
      </c>
      <c r="L205" s="28">
        <f>IF(AND(G205="無",J205&lt;&gt;""),J205,"")</f>
        <v/>
      </c>
      <c r="M205" s="13" t="n"/>
    </row>
    <row r="206">
      <c r="A206" s="13" t="n"/>
      <c r="B206" s="14" t="n"/>
      <c r="C206" s="14" t="n"/>
      <c r="D206" s="14" t="n"/>
      <c r="E206" s="13" t="n"/>
      <c r="F206" s="13" t="n"/>
      <c r="G206" s="13" t="n"/>
      <c r="H206" s="13" t="n"/>
      <c r="I206" s="13" t="n"/>
      <c r="J206" s="28">
        <f>IF(OR(B206="",D206=""),"",D206-B206)</f>
        <v/>
      </c>
      <c r="K206" s="28">
        <f>IF(AND(G206="有",J206&lt;&gt;""),J206,"")</f>
        <v/>
      </c>
      <c r="L206" s="28">
        <f>IF(AND(G206="無",J206&lt;&gt;""),J206,"")</f>
        <v/>
      </c>
      <c r="M206" s="13" t="n"/>
    </row>
    <row r="207">
      <c r="A207" s="13" t="n"/>
      <c r="B207" s="14" t="n"/>
      <c r="C207" s="14" t="n"/>
      <c r="D207" s="14" t="n"/>
      <c r="E207" s="13" t="n"/>
      <c r="F207" s="13" t="n"/>
      <c r="G207" s="13" t="n"/>
      <c r="H207" s="13" t="n"/>
      <c r="I207" s="13" t="n"/>
      <c r="J207" s="28">
        <f>IF(OR(B207="",D207=""),"",D207-B207)</f>
        <v/>
      </c>
      <c r="K207" s="28">
        <f>IF(AND(G207="有",J207&lt;&gt;""),J207,"")</f>
        <v/>
      </c>
      <c r="L207" s="28">
        <f>IF(AND(G207="無",J207&lt;&gt;""),J207,"")</f>
        <v/>
      </c>
      <c r="M207" s="13" t="n"/>
    </row>
    <row r="208">
      <c r="A208" s="13" t="n"/>
      <c r="B208" s="14" t="n"/>
      <c r="C208" s="14" t="n"/>
      <c r="D208" s="14" t="n"/>
      <c r="E208" s="13" t="n"/>
      <c r="F208" s="13" t="n"/>
      <c r="G208" s="13" t="n"/>
      <c r="H208" s="13" t="n"/>
      <c r="I208" s="13" t="n"/>
      <c r="J208" s="28">
        <f>IF(OR(B208="",D208=""),"",D208-B208)</f>
        <v/>
      </c>
      <c r="K208" s="28">
        <f>IF(AND(G208="有",J208&lt;&gt;""),J208,"")</f>
        <v/>
      </c>
      <c r="L208" s="28">
        <f>IF(AND(G208="無",J208&lt;&gt;""),J208,"")</f>
        <v/>
      </c>
      <c r="M208" s="13" t="n"/>
    </row>
    <row r="209">
      <c r="A209" s="13" t="n"/>
      <c r="B209" s="14" t="n"/>
      <c r="C209" s="14" t="n"/>
      <c r="D209" s="14" t="n"/>
      <c r="E209" s="13" t="n"/>
      <c r="F209" s="13" t="n"/>
      <c r="G209" s="13" t="n"/>
      <c r="H209" s="13" t="n"/>
      <c r="I209" s="13" t="n"/>
      <c r="J209" s="28">
        <f>IF(OR(B209="",D209=""),"",D209-B209)</f>
        <v/>
      </c>
      <c r="K209" s="28">
        <f>IF(AND(G209="有",J209&lt;&gt;""),J209,"")</f>
        <v/>
      </c>
      <c r="L209" s="28">
        <f>IF(AND(G209="無",J209&lt;&gt;""),J209,"")</f>
        <v/>
      </c>
      <c r="M209" s="13" t="n"/>
    </row>
    <row r="210">
      <c r="A210" s="13" t="n"/>
      <c r="B210" s="14" t="n"/>
      <c r="C210" s="14" t="n"/>
      <c r="D210" s="14" t="n"/>
      <c r="E210" s="13" t="n"/>
      <c r="F210" s="13" t="n"/>
      <c r="G210" s="13" t="n"/>
      <c r="H210" s="13" t="n"/>
      <c r="I210" s="13" t="n"/>
      <c r="J210" s="28">
        <f>IF(OR(B210="",D210=""),"",D210-B210)</f>
        <v/>
      </c>
      <c r="K210" s="28">
        <f>IF(AND(G210="有",J210&lt;&gt;""),J210,"")</f>
        <v/>
      </c>
      <c r="L210" s="28">
        <f>IF(AND(G210="無",J210&lt;&gt;""),J210,"")</f>
        <v/>
      </c>
      <c r="M210" s="13" t="n"/>
    </row>
    <row r="211">
      <c r="A211" s="13" t="n"/>
      <c r="B211" s="14" t="n"/>
      <c r="C211" s="14" t="n"/>
      <c r="D211" s="14" t="n"/>
      <c r="E211" s="13" t="n"/>
      <c r="F211" s="13" t="n"/>
      <c r="G211" s="13" t="n"/>
      <c r="H211" s="13" t="n"/>
      <c r="I211" s="13" t="n"/>
      <c r="J211" s="28">
        <f>IF(OR(B211="",D211=""),"",D211-B211)</f>
        <v/>
      </c>
      <c r="K211" s="28">
        <f>IF(AND(G211="有",J211&lt;&gt;""),J211,"")</f>
        <v/>
      </c>
      <c r="L211" s="28">
        <f>IF(AND(G211="無",J211&lt;&gt;""),J211,"")</f>
        <v/>
      </c>
      <c r="M211" s="13" t="n"/>
    </row>
    <row r="212">
      <c r="A212" s="13" t="n"/>
      <c r="B212" s="14" t="n"/>
      <c r="C212" s="14" t="n"/>
      <c r="D212" s="14" t="n"/>
      <c r="E212" s="13" t="n"/>
      <c r="F212" s="13" t="n"/>
      <c r="G212" s="13" t="n"/>
      <c r="H212" s="13" t="n"/>
      <c r="I212" s="13" t="n"/>
      <c r="J212" s="28">
        <f>IF(OR(B212="",D212=""),"",D212-B212)</f>
        <v/>
      </c>
      <c r="K212" s="28">
        <f>IF(AND(G212="有",J212&lt;&gt;""),J212,"")</f>
        <v/>
      </c>
      <c r="L212" s="28">
        <f>IF(AND(G212="無",J212&lt;&gt;""),J212,"")</f>
        <v/>
      </c>
      <c r="M212" s="13" t="n"/>
    </row>
    <row r="213">
      <c r="A213" s="13" t="n"/>
      <c r="B213" s="14" t="n"/>
      <c r="C213" s="14" t="n"/>
      <c r="D213" s="14" t="n"/>
      <c r="E213" s="13" t="n"/>
      <c r="F213" s="13" t="n"/>
      <c r="G213" s="13" t="n"/>
      <c r="H213" s="13" t="n"/>
      <c r="I213" s="13" t="n"/>
      <c r="J213" s="28">
        <f>IF(OR(B213="",D213=""),"",D213-B213)</f>
        <v/>
      </c>
      <c r="K213" s="28">
        <f>IF(AND(G213="有",J213&lt;&gt;""),J213,"")</f>
        <v/>
      </c>
      <c r="L213" s="28">
        <f>IF(AND(G213="無",J213&lt;&gt;""),J213,"")</f>
        <v/>
      </c>
      <c r="M213" s="13" t="n"/>
    </row>
    <row r="214">
      <c r="A214" s="13" t="n"/>
      <c r="B214" s="14" t="n"/>
      <c r="C214" s="14" t="n"/>
      <c r="D214" s="14" t="n"/>
      <c r="E214" s="13" t="n"/>
      <c r="F214" s="13" t="n"/>
      <c r="G214" s="13" t="n"/>
      <c r="H214" s="13" t="n"/>
      <c r="I214" s="13" t="n"/>
      <c r="J214" s="28">
        <f>IF(OR(B214="",D214=""),"",D214-B214)</f>
        <v/>
      </c>
      <c r="K214" s="28">
        <f>IF(AND(G214="有",J214&lt;&gt;""),J214,"")</f>
        <v/>
      </c>
      <c r="L214" s="28">
        <f>IF(AND(G214="無",J214&lt;&gt;""),J214,"")</f>
        <v/>
      </c>
      <c r="M214" s="13" t="n"/>
    </row>
    <row r="215">
      <c r="A215" s="13" t="n"/>
      <c r="B215" s="14" t="n"/>
      <c r="C215" s="14" t="n"/>
      <c r="D215" s="14" t="n"/>
      <c r="E215" s="13" t="n"/>
      <c r="F215" s="13" t="n"/>
      <c r="G215" s="13" t="n"/>
      <c r="H215" s="13" t="n"/>
      <c r="I215" s="13" t="n"/>
      <c r="J215" s="28">
        <f>IF(OR(B215="",D215=""),"",D215-B215)</f>
        <v/>
      </c>
      <c r="K215" s="28">
        <f>IF(AND(G215="有",J215&lt;&gt;""),J215,"")</f>
        <v/>
      </c>
      <c r="L215" s="28">
        <f>IF(AND(G215="無",J215&lt;&gt;""),J215,"")</f>
        <v/>
      </c>
      <c r="M215" s="13" t="n"/>
    </row>
    <row r="216">
      <c r="A216" s="13" t="n"/>
      <c r="B216" s="14" t="n"/>
      <c r="C216" s="14" t="n"/>
      <c r="D216" s="14" t="n"/>
      <c r="E216" s="13" t="n"/>
      <c r="F216" s="13" t="n"/>
      <c r="G216" s="13" t="n"/>
      <c r="H216" s="13" t="n"/>
      <c r="I216" s="13" t="n"/>
      <c r="J216" s="28">
        <f>IF(OR(B216="",D216=""),"",D216-B216)</f>
        <v/>
      </c>
      <c r="K216" s="28">
        <f>IF(AND(G216="有",J216&lt;&gt;""),J216,"")</f>
        <v/>
      </c>
      <c r="L216" s="28">
        <f>IF(AND(G216="無",J216&lt;&gt;""),J216,"")</f>
        <v/>
      </c>
      <c r="M216" s="13" t="n"/>
    </row>
    <row r="217">
      <c r="A217" s="13" t="n"/>
      <c r="B217" s="14" t="n"/>
      <c r="C217" s="14" t="n"/>
      <c r="D217" s="14" t="n"/>
      <c r="E217" s="13" t="n"/>
      <c r="F217" s="13" t="n"/>
      <c r="G217" s="13" t="n"/>
      <c r="H217" s="13" t="n"/>
      <c r="I217" s="13" t="n"/>
      <c r="J217" s="28">
        <f>IF(OR(B217="",D217=""),"",D217-B217)</f>
        <v/>
      </c>
      <c r="K217" s="28">
        <f>IF(AND(G217="有",J217&lt;&gt;""),J217,"")</f>
        <v/>
      </c>
      <c r="L217" s="28">
        <f>IF(AND(G217="無",J217&lt;&gt;""),J217,"")</f>
        <v/>
      </c>
      <c r="M217" s="13" t="n"/>
    </row>
    <row r="218">
      <c r="A218" s="13" t="n"/>
      <c r="B218" s="14" t="n"/>
      <c r="C218" s="14" t="n"/>
      <c r="D218" s="14" t="n"/>
      <c r="E218" s="13" t="n"/>
      <c r="F218" s="13" t="n"/>
      <c r="G218" s="13" t="n"/>
      <c r="H218" s="13" t="n"/>
      <c r="I218" s="13" t="n"/>
      <c r="J218" s="28">
        <f>IF(OR(B218="",D218=""),"",D218-B218)</f>
        <v/>
      </c>
      <c r="K218" s="28">
        <f>IF(AND(G218="有",J218&lt;&gt;""),J218,"")</f>
        <v/>
      </c>
      <c r="L218" s="28">
        <f>IF(AND(G218="無",J218&lt;&gt;""),J218,"")</f>
        <v/>
      </c>
      <c r="M218" s="13" t="n"/>
    </row>
    <row r="219">
      <c r="A219" s="13" t="n"/>
      <c r="B219" s="14" t="n"/>
      <c r="C219" s="14" t="n"/>
      <c r="D219" s="14" t="n"/>
      <c r="E219" s="13" t="n"/>
      <c r="F219" s="13" t="n"/>
      <c r="G219" s="13" t="n"/>
      <c r="H219" s="13" t="n"/>
      <c r="I219" s="13" t="n"/>
      <c r="J219" s="28">
        <f>IF(OR(B219="",D219=""),"",D219-B219)</f>
        <v/>
      </c>
      <c r="K219" s="28">
        <f>IF(AND(G219="有",J219&lt;&gt;""),J219,"")</f>
        <v/>
      </c>
      <c r="L219" s="28">
        <f>IF(AND(G219="無",J219&lt;&gt;""),J219,"")</f>
        <v/>
      </c>
      <c r="M219" s="13" t="n"/>
    </row>
    <row r="220">
      <c r="A220" s="13" t="n"/>
      <c r="B220" s="14" t="n"/>
      <c r="C220" s="14" t="n"/>
      <c r="D220" s="14" t="n"/>
      <c r="E220" s="13" t="n"/>
      <c r="F220" s="13" t="n"/>
      <c r="G220" s="13" t="n"/>
      <c r="H220" s="13" t="n"/>
      <c r="I220" s="13" t="n"/>
      <c r="J220" s="28">
        <f>IF(OR(B220="",D220=""),"",D220-B220)</f>
        <v/>
      </c>
      <c r="K220" s="28">
        <f>IF(AND(G220="有",J220&lt;&gt;""),J220,"")</f>
        <v/>
      </c>
      <c r="L220" s="28">
        <f>IF(AND(G220="無",J220&lt;&gt;""),J220,"")</f>
        <v/>
      </c>
      <c r="M220" s="13" t="n"/>
    </row>
    <row r="221">
      <c r="A221" s="13" t="n"/>
      <c r="B221" s="14" t="n"/>
      <c r="C221" s="14" t="n"/>
      <c r="D221" s="14" t="n"/>
      <c r="E221" s="13" t="n"/>
      <c r="F221" s="13" t="n"/>
      <c r="G221" s="13" t="n"/>
      <c r="H221" s="13" t="n"/>
      <c r="I221" s="13" t="n"/>
      <c r="J221" s="28">
        <f>IF(OR(B221="",D221=""),"",D221-B221)</f>
        <v/>
      </c>
      <c r="K221" s="28">
        <f>IF(AND(G221="有",J221&lt;&gt;""),J221,"")</f>
        <v/>
      </c>
      <c r="L221" s="28">
        <f>IF(AND(G221="無",J221&lt;&gt;""),J221,"")</f>
        <v/>
      </c>
      <c r="M221" s="13" t="n"/>
    </row>
    <row r="222">
      <c r="A222" s="13" t="n"/>
      <c r="B222" s="14" t="n"/>
      <c r="C222" s="14" t="n"/>
      <c r="D222" s="14" t="n"/>
      <c r="E222" s="13" t="n"/>
      <c r="F222" s="13" t="n"/>
      <c r="G222" s="13" t="n"/>
      <c r="H222" s="13" t="n"/>
      <c r="I222" s="13" t="n"/>
      <c r="J222" s="28">
        <f>IF(OR(B222="",D222=""),"",D222-B222)</f>
        <v/>
      </c>
      <c r="K222" s="28">
        <f>IF(AND(G222="有",J222&lt;&gt;""),J222,"")</f>
        <v/>
      </c>
      <c r="L222" s="28">
        <f>IF(AND(G222="無",J222&lt;&gt;""),J222,"")</f>
        <v/>
      </c>
      <c r="M222" s="13" t="n"/>
    </row>
    <row r="223">
      <c r="A223" s="13" t="n"/>
      <c r="B223" s="14" t="n"/>
      <c r="C223" s="14" t="n"/>
      <c r="D223" s="14" t="n"/>
      <c r="E223" s="13" t="n"/>
      <c r="F223" s="13" t="n"/>
      <c r="G223" s="13" t="n"/>
      <c r="H223" s="13" t="n"/>
      <c r="I223" s="13" t="n"/>
      <c r="J223" s="28">
        <f>IF(OR(B223="",D223=""),"",D223-B223)</f>
        <v/>
      </c>
      <c r="K223" s="28">
        <f>IF(AND(G223="有",J223&lt;&gt;""),J223,"")</f>
        <v/>
      </c>
      <c r="L223" s="28">
        <f>IF(AND(G223="無",J223&lt;&gt;""),J223,"")</f>
        <v/>
      </c>
      <c r="M223" s="13" t="n"/>
    </row>
    <row r="224">
      <c r="A224" s="13" t="n"/>
      <c r="B224" s="14" t="n"/>
      <c r="C224" s="14" t="n"/>
      <c r="D224" s="14" t="n"/>
      <c r="E224" s="13" t="n"/>
      <c r="F224" s="13" t="n"/>
      <c r="G224" s="13" t="n"/>
      <c r="H224" s="13" t="n"/>
      <c r="I224" s="13" t="n"/>
      <c r="J224" s="28">
        <f>IF(OR(B224="",D224=""),"",D224-B224)</f>
        <v/>
      </c>
      <c r="K224" s="28">
        <f>IF(AND(G224="有",J224&lt;&gt;""),J224,"")</f>
        <v/>
      </c>
      <c r="L224" s="28">
        <f>IF(AND(G224="無",J224&lt;&gt;""),J224,"")</f>
        <v/>
      </c>
      <c r="M224" s="13" t="n"/>
    </row>
    <row r="225">
      <c r="A225" s="13" t="n"/>
      <c r="B225" s="14" t="n"/>
      <c r="C225" s="14" t="n"/>
      <c r="D225" s="14" t="n"/>
      <c r="E225" s="13" t="n"/>
      <c r="F225" s="13" t="n"/>
      <c r="G225" s="13" t="n"/>
      <c r="H225" s="13" t="n"/>
      <c r="I225" s="13" t="n"/>
      <c r="J225" s="28">
        <f>IF(OR(B225="",D225=""),"",D225-B225)</f>
        <v/>
      </c>
      <c r="K225" s="28">
        <f>IF(AND(G225="有",J225&lt;&gt;""),J225,"")</f>
        <v/>
      </c>
      <c r="L225" s="28">
        <f>IF(AND(G225="無",J225&lt;&gt;""),J225,"")</f>
        <v/>
      </c>
      <c r="M225" s="13" t="n"/>
    </row>
    <row r="226">
      <c r="A226" s="13" t="n"/>
      <c r="B226" s="14" t="n"/>
      <c r="C226" s="14" t="n"/>
      <c r="D226" s="14" t="n"/>
      <c r="E226" s="13" t="n"/>
      <c r="F226" s="13" t="n"/>
      <c r="G226" s="13" t="n"/>
      <c r="H226" s="13" t="n"/>
      <c r="I226" s="13" t="n"/>
      <c r="J226" s="28">
        <f>IF(OR(B226="",D226=""),"",D226-B226)</f>
        <v/>
      </c>
      <c r="K226" s="28">
        <f>IF(AND(G226="有",J226&lt;&gt;""),J226,"")</f>
        <v/>
      </c>
      <c r="L226" s="28">
        <f>IF(AND(G226="無",J226&lt;&gt;""),J226,"")</f>
        <v/>
      </c>
      <c r="M226" s="13" t="n"/>
    </row>
    <row r="227">
      <c r="A227" s="13" t="n"/>
      <c r="B227" s="14" t="n"/>
      <c r="C227" s="14" t="n"/>
      <c r="D227" s="14" t="n"/>
      <c r="E227" s="13" t="n"/>
      <c r="F227" s="13" t="n"/>
      <c r="G227" s="13" t="n"/>
      <c r="H227" s="13" t="n"/>
      <c r="I227" s="13" t="n"/>
      <c r="J227" s="28">
        <f>IF(OR(B227="",D227=""),"",D227-B227)</f>
        <v/>
      </c>
      <c r="K227" s="28">
        <f>IF(AND(G227="有",J227&lt;&gt;""),J227,"")</f>
        <v/>
      </c>
      <c r="L227" s="28">
        <f>IF(AND(G227="無",J227&lt;&gt;""),J227,"")</f>
        <v/>
      </c>
      <c r="M227" s="13" t="n"/>
    </row>
    <row r="228">
      <c r="A228" s="13" t="n"/>
      <c r="B228" s="14" t="n"/>
      <c r="C228" s="14" t="n"/>
      <c r="D228" s="14" t="n"/>
      <c r="E228" s="13" t="n"/>
      <c r="F228" s="13" t="n"/>
      <c r="G228" s="13" t="n"/>
      <c r="H228" s="13" t="n"/>
      <c r="I228" s="13" t="n"/>
      <c r="J228" s="28">
        <f>IF(OR(B228="",D228=""),"",D228-B228)</f>
        <v/>
      </c>
      <c r="K228" s="28">
        <f>IF(AND(G228="有",J228&lt;&gt;""),J228,"")</f>
        <v/>
      </c>
      <c r="L228" s="28">
        <f>IF(AND(G228="無",J228&lt;&gt;""),J228,"")</f>
        <v/>
      </c>
      <c r="M228" s="13" t="n"/>
    </row>
    <row r="229">
      <c r="A229" s="13" t="n"/>
      <c r="B229" s="14" t="n"/>
      <c r="C229" s="14" t="n"/>
      <c r="D229" s="14" t="n"/>
      <c r="E229" s="13" t="n"/>
      <c r="F229" s="13" t="n"/>
      <c r="G229" s="13" t="n"/>
      <c r="H229" s="13" t="n"/>
      <c r="I229" s="13" t="n"/>
      <c r="J229" s="28">
        <f>IF(OR(B229="",D229=""),"",D229-B229)</f>
        <v/>
      </c>
      <c r="K229" s="28">
        <f>IF(AND(G229="有",J229&lt;&gt;""),J229,"")</f>
        <v/>
      </c>
      <c r="L229" s="28">
        <f>IF(AND(G229="無",J229&lt;&gt;""),J229,"")</f>
        <v/>
      </c>
      <c r="M229" s="13" t="n"/>
    </row>
    <row r="230">
      <c r="A230" s="13" t="n"/>
      <c r="B230" s="14" t="n"/>
      <c r="C230" s="14" t="n"/>
      <c r="D230" s="14" t="n"/>
      <c r="E230" s="13" t="n"/>
      <c r="F230" s="13" t="n"/>
      <c r="G230" s="13" t="n"/>
      <c r="H230" s="13" t="n"/>
      <c r="I230" s="13" t="n"/>
      <c r="J230" s="28">
        <f>IF(OR(B230="",D230=""),"",D230-B230)</f>
        <v/>
      </c>
      <c r="K230" s="28">
        <f>IF(AND(G230="有",J230&lt;&gt;""),J230,"")</f>
        <v/>
      </c>
      <c r="L230" s="28">
        <f>IF(AND(G230="無",J230&lt;&gt;""),J230,"")</f>
        <v/>
      </c>
      <c r="M230" s="13" t="n"/>
    </row>
    <row r="231">
      <c r="A231" s="13" t="n"/>
      <c r="B231" s="14" t="n"/>
      <c r="C231" s="14" t="n"/>
      <c r="D231" s="14" t="n"/>
      <c r="E231" s="13" t="n"/>
      <c r="F231" s="13" t="n"/>
      <c r="G231" s="13" t="n"/>
      <c r="H231" s="13" t="n"/>
      <c r="I231" s="13" t="n"/>
      <c r="J231" s="28">
        <f>IF(OR(B231="",D231=""),"",D231-B231)</f>
        <v/>
      </c>
      <c r="K231" s="28">
        <f>IF(AND(G231="有",J231&lt;&gt;""),J231,"")</f>
        <v/>
      </c>
      <c r="L231" s="28">
        <f>IF(AND(G231="無",J231&lt;&gt;""),J231,"")</f>
        <v/>
      </c>
      <c r="M231" s="13" t="n"/>
    </row>
    <row r="232">
      <c r="A232" s="13" t="n"/>
      <c r="B232" s="14" t="n"/>
      <c r="C232" s="14" t="n"/>
      <c r="D232" s="14" t="n"/>
      <c r="E232" s="13" t="n"/>
      <c r="F232" s="13" t="n"/>
      <c r="G232" s="13" t="n"/>
      <c r="H232" s="13" t="n"/>
      <c r="I232" s="13" t="n"/>
      <c r="J232" s="28">
        <f>IF(OR(B232="",D232=""),"",D232-B232)</f>
        <v/>
      </c>
      <c r="K232" s="28">
        <f>IF(AND(G232="有",J232&lt;&gt;""),J232,"")</f>
        <v/>
      </c>
      <c r="L232" s="28">
        <f>IF(AND(G232="無",J232&lt;&gt;""),J232,"")</f>
        <v/>
      </c>
      <c r="M232" s="13" t="n"/>
    </row>
    <row r="233">
      <c r="A233" s="13" t="n"/>
      <c r="B233" s="14" t="n"/>
      <c r="C233" s="14" t="n"/>
      <c r="D233" s="14" t="n"/>
      <c r="E233" s="13" t="n"/>
      <c r="F233" s="13" t="n"/>
      <c r="G233" s="13" t="n"/>
      <c r="H233" s="13" t="n"/>
      <c r="I233" s="13" t="n"/>
      <c r="J233" s="28">
        <f>IF(OR(B233="",D233=""),"",D233-B233)</f>
        <v/>
      </c>
      <c r="K233" s="28">
        <f>IF(AND(G233="有",J233&lt;&gt;""),J233,"")</f>
        <v/>
      </c>
      <c r="L233" s="28">
        <f>IF(AND(G233="無",J233&lt;&gt;""),J233,"")</f>
        <v/>
      </c>
      <c r="M233" s="13" t="n"/>
    </row>
    <row r="234">
      <c r="A234" s="13" t="n"/>
      <c r="B234" s="14" t="n"/>
      <c r="C234" s="14" t="n"/>
      <c r="D234" s="14" t="n"/>
      <c r="E234" s="13" t="n"/>
      <c r="F234" s="13" t="n"/>
      <c r="G234" s="13" t="n"/>
      <c r="H234" s="13" t="n"/>
      <c r="I234" s="13" t="n"/>
      <c r="J234" s="28">
        <f>IF(OR(B234="",D234=""),"",D234-B234)</f>
        <v/>
      </c>
      <c r="K234" s="28">
        <f>IF(AND(G234="有",J234&lt;&gt;""),J234,"")</f>
        <v/>
      </c>
      <c r="L234" s="28">
        <f>IF(AND(G234="無",J234&lt;&gt;""),J234,"")</f>
        <v/>
      </c>
      <c r="M234" s="13" t="n"/>
    </row>
    <row r="235">
      <c r="A235" s="13" t="n"/>
      <c r="B235" s="14" t="n"/>
      <c r="C235" s="14" t="n"/>
      <c r="D235" s="14" t="n"/>
      <c r="E235" s="13" t="n"/>
      <c r="F235" s="13" t="n"/>
      <c r="G235" s="13" t="n"/>
      <c r="H235" s="13" t="n"/>
      <c r="I235" s="13" t="n"/>
      <c r="J235" s="28">
        <f>IF(OR(B235="",D235=""),"",D235-B235)</f>
        <v/>
      </c>
      <c r="K235" s="28">
        <f>IF(AND(G235="有",J235&lt;&gt;""),J235,"")</f>
        <v/>
      </c>
      <c r="L235" s="28">
        <f>IF(AND(G235="無",J235&lt;&gt;""),J235,"")</f>
        <v/>
      </c>
      <c r="M235" s="13" t="n"/>
    </row>
    <row r="236">
      <c r="A236" s="13" t="n"/>
      <c r="B236" s="14" t="n"/>
      <c r="C236" s="14" t="n"/>
      <c r="D236" s="14" t="n"/>
      <c r="E236" s="13" t="n"/>
      <c r="F236" s="13" t="n"/>
      <c r="G236" s="13" t="n"/>
      <c r="H236" s="13" t="n"/>
      <c r="I236" s="13" t="n"/>
      <c r="J236" s="28">
        <f>IF(OR(B236="",D236=""),"",D236-B236)</f>
        <v/>
      </c>
      <c r="K236" s="28">
        <f>IF(AND(G236="有",J236&lt;&gt;""),J236,"")</f>
        <v/>
      </c>
      <c r="L236" s="28">
        <f>IF(AND(G236="無",J236&lt;&gt;""),J236,"")</f>
        <v/>
      </c>
      <c r="M236" s="13" t="n"/>
    </row>
    <row r="237">
      <c r="A237" s="13" t="n"/>
      <c r="B237" s="14" t="n"/>
      <c r="C237" s="14" t="n"/>
      <c r="D237" s="14" t="n"/>
      <c r="E237" s="13" t="n"/>
      <c r="F237" s="13" t="n"/>
      <c r="G237" s="13" t="n"/>
      <c r="H237" s="13" t="n"/>
      <c r="I237" s="13" t="n"/>
      <c r="J237" s="28">
        <f>IF(OR(B237="",D237=""),"",D237-B237)</f>
        <v/>
      </c>
      <c r="K237" s="28">
        <f>IF(AND(G237="有",J237&lt;&gt;""),J237,"")</f>
        <v/>
      </c>
      <c r="L237" s="28">
        <f>IF(AND(G237="無",J237&lt;&gt;""),J237,"")</f>
        <v/>
      </c>
      <c r="M237" s="13" t="n"/>
    </row>
    <row r="238">
      <c r="A238" s="13" t="n"/>
      <c r="B238" s="14" t="n"/>
      <c r="C238" s="14" t="n"/>
      <c r="D238" s="14" t="n"/>
      <c r="E238" s="13" t="n"/>
      <c r="F238" s="13" t="n"/>
      <c r="G238" s="13" t="n"/>
      <c r="H238" s="13" t="n"/>
      <c r="I238" s="13" t="n"/>
      <c r="J238" s="28">
        <f>IF(OR(B238="",D238=""),"",D238-B238)</f>
        <v/>
      </c>
      <c r="K238" s="28">
        <f>IF(AND(G238="有",J238&lt;&gt;""),J238,"")</f>
        <v/>
      </c>
      <c r="L238" s="28">
        <f>IF(AND(G238="無",J238&lt;&gt;""),J238,"")</f>
        <v/>
      </c>
      <c r="M238" s="13" t="n"/>
    </row>
    <row r="239">
      <c r="A239" s="13" t="n"/>
      <c r="B239" s="14" t="n"/>
      <c r="C239" s="14" t="n"/>
      <c r="D239" s="14" t="n"/>
      <c r="E239" s="13" t="n"/>
      <c r="F239" s="13" t="n"/>
      <c r="G239" s="13" t="n"/>
      <c r="H239" s="13" t="n"/>
      <c r="I239" s="13" t="n"/>
      <c r="J239" s="28">
        <f>IF(OR(B239="",D239=""),"",D239-B239)</f>
        <v/>
      </c>
      <c r="K239" s="28">
        <f>IF(AND(G239="有",J239&lt;&gt;""),J239,"")</f>
        <v/>
      </c>
      <c r="L239" s="28">
        <f>IF(AND(G239="無",J239&lt;&gt;""),J239,"")</f>
        <v/>
      </c>
      <c r="M239" s="13" t="n"/>
    </row>
    <row r="240">
      <c r="A240" s="13" t="n"/>
      <c r="B240" s="14" t="n"/>
      <c r="C240" s="14" t="n"/>
      <c r="D240" s="14" t="n"/>
      <c r="E240" s="13" t="n"/>
      <c r="F240" s="13" t="n"/>
      <c r="G240" s="13" t="n"/>
      <c r="H240" s="13" t="n"/>
      <c r="I240" s="13" t="n"/>
      <c r="J240" s="28">
        <f>IF(OR(B240="",D240=""),"",D240-B240)</f>
        <v/>
      </c>
      <c r="K240" s="28">
        <f>IF(AND(G240="有",J240&lt;&gt;""),J240,"")</f>
        <v/>
      </c>
      <c r="L240" s="28">
        <f>IF(AND(G240="無",J240&lt;&gt;""),J240,"")</f>
        <v/>
      </c>
      <c r="M240" s="13" t="n"/>
    </row>
    <row r="241">
      <c r="A241" s="13" t="n"/>
      <c r="B241" s="14" t="n"/>
      <c r="C241" s="14" t="n"/>
      <c r="D241" s="14" t="n"/>
      <c r="E241" s="13" t="n"/>
      <c r="F241" s="13" t="n"/>
      <c r="G241" s="13" t="n"/>
      <c r="H241" s="13" t="n"/>
      <c r="I241" s="13" t="n"/>
      <c r="J241" s="28">
        <f>IF(OR(B241="",D241=""),"",D241-B241)</f>
        <v/>
      </c>
      <c r="K241" s="28">
        <f>IF(AND(G241="有",J241&lt;&gt;""),J241,"")</f>
        <v/>
      </c>
      <c r="L241" s="28">
        <f>IF(AND(G241="無",J241&lt;&gt;""),J241,"")</f>
        <v/>
      </c>
      <c r="M241" s="13" t="n"/>
    </row>
    <row r="242">
      <c r="A242" s="13" t="n"/>
      <c r="B242" s="14" t="n"/>
      <c r="C242" s="14" t="n"/>
      <c r="D242" s="14" t="n"/>
      <c r="E242" s="13" t="n"/>
      <c r="F242" s="13" t="n"/>
      <c r="G242" s="13" t="n"/>
      <c r="H242" s="13" t="n"/>
      <c r="I242" s="13" t="n"/>
      <c r="J242" s="28">
        <f>IF(OR(B242="",D242=""),"",D242-B242)</f>
        <v/>
      </c>
      <c r="K242" s="28">
        <f>IF(AND(G242="有",J242&lt;&gt;""),J242,"")</f>
        <v/>
      </c>
      <c r="L242" s="28">
        <f>IF(AND(G242="無",J242&lt;&gt;""),J242,"")</f>
        <v/>
      </c>
      <c r="M242" s="13" t="n"/>
    </row>
    <row r="243">
      <c r="A243" s="13" t="n"/>
      <c r="B243" s="14" t="n"/>
      <c r="C243" s="14" t="n"/>
      <c r="D243" s="14" t="n"/>
      <c r="E243" s="13" t="n"/>
      <c r="F243" s="13" t="n"/>
      <c r="G243" s="13" t="n"/>
      <c r="H243" s="13" t="n"/>
      <c r="I243" s="13" t="n"/>
      <c r="J243" s="28">
        <f>IF(OR(B243="",D243=""),"",D243-B243)</f>
        <v/>
      </c>
      <c r="K243" s="28">
        <f>IF(AND(G243="有",J243&lt;&gt;""),J243,"")</f>
        <v/>
      </c>
      <c r="L243" s="28">
        <f>IF(AND(G243="無",J243&lt;&gt;""),J243,"")</f>
        <v/>
      </c>
      <c r="M243" s="13" t="n"/>
    </row>
    <row r="244">
      <c r="A244" s="13" t="n"/>
      <c r="B244" s="14" t="n"/>
      <c r="C244" s="14" t="n"/>
      <c r="D244" s="14" t="n"/>
      <c r="E244" s="13" t="n"/>
      <c r="F244" s="13" t="n"/>
      <c r="G244" s="13" t="n"/>
      <c r="H244" s="13" t="n"/>
      <c r="I244" s="13" t="n"/>
      <c r="J244" s="28">
        <f>IF(OR(B244="",D244=""),"",D244-B244)</f>
        <v/>
      </c>
      <c r="K244" s="28">
        <f>IF(AND(G244="有",J244&lt;&gt;""),J244,"")</f>
        <v/>
      </c>
      <c r="L244" s="28">
        <f>IF(AND(G244="無",J244&lt;&gt;""),J244,"")</f>
        <v/>
      </c>
      <c r="M244" s="13" t="n"/>
    </row>
    <row r="245">
      <c r="A245" s="13" t="n"/>
      <c r="B245" s="14" t="n"/>
      <c r="C245" s="14" t="n"/>
      <c r="D245" s="14" t="n"/>
      <c r="E245" s="13" t="n"/>
      <c r="F245" s="13" t="n"/>
      <c r="G245" s="13" t="n"/>
      <c r="H245" s="13" t="n"/>
      <c r="I245" s="13" t="n"/>
      <c r="J245" s="28">
        <f>IF(OR(B245="",D245=""),"",D245-B245)</f>
        <v/>
      </c>
      <c r="K245" s="28">
        <f>IF(AND(G245="有",J245&lt;&gt;""),J245,"")</f>
        <v/>
      </c>
      <c r="L245" s="28">
        <f>IF(AND(G245="無",J245&lt;&gt;""),J245,"")</f>
        <v/>
      </c>
      <c r="M245" s="13" t="n"/>
    </row>
    <row r="246">
      <c r="A246" s="13" t="n"/>
      <c r="B246" s="14" t="n"/>
      <c r="C246" s="14" t="n"/>
      <c r="D246" s="14" t="n"/>
      <c r="E246" s="13" t="n"/>
      <c r="F246" s="13" t="n"/>
      <c r="G246" s="13" t="n"/>
      <c r="H246" s="13" t="n"/>
      <c r="I246" s="13" t="n"/>
      <c r="J246" s="28">
        <f>IF(OR(B246="",D246=""),"",D246-B246)</f>
        <v/>
      </c>
      <c r="K246" s="28">
        <f>IF(AND(G246="有",J246&lt;&gt;""),J246,"")</f>
        <v/>
      </c>
      <c r="L246" s="28">
        <f>IF(AND(G246="無",J246&lt;&gt;""),J246,"")</f>
        <v/>
      </c>
      <c r="M246" s="13" t="n"/>
    </row>
    <row r="247">
      <c r="A247" s="13" t="n"/>
      <c r="B247" s="14" t="n"/>
      <c r="C247" s="14" t="n"/>
      <c r="D247" s="14" t="n"/>
      <c r="E247" s="13" t="n"/>
      <c r="F247" s="13" t="n"/>
      <c r="G247" s="13" t="n"/>
      <c r="H247" s="13" t="n"/>
      <c r="I247" s="13" t="n"/>
      <c r="J247" s="28">
        <f>IF(OR(B247="",D247=""),"",D247-B247)</f>
        <v/>
      </c>
      <c r="K247" s="28">
        <f>IF(AND(G247="有",J247&lt;&gt;""),J247,"")</f>
        <v/>
      </c>
      <c r="L247" s="28">
        <f>IF(AND(G247="無",J247&lt;&gt;""),J247,"")</f>
        <v/>
      </c>
      <c r="M247" s="13" t="n"/>
    </row>
    <row r="248">
      <c r="A248" s="13" t="n"/>
      <c r="B248" s="14" t="n"/>
      <c r="C248" s="14" t="n"/>
      <c r="D248" s="14" t="n"/>
      <c r="E248" s="13" t="n"/>
      <c r="F248" s="13" t="n"/>
      <c r="G248" s="13" t="n"/>
      <c r="H248" s="13" t="n"/>
      <c r="I248" s="13" t="n"/>
      <c r="J248" s="28">
        <f>IF(OR(B248="",D248=""),"",D248-B248)</f>
        <v/>
      </c>
      <c r="K248" s="28">
        <f>IF(AND(G248="有",J248&lt;&gt;""),J248,"")</f>
        <v/>
      </c>
      <c r="L248" s="28">
        <f>IF(AND(G248="無",J248&lt;&gt;""),J248,"")</f>
        <v/>
      </c>
      <c r="M248" s="13" t="n"/>
    </row>
    <row r="249">
      <c r="A249" s="13" t="n"/>
      <c r="B249" s="14" t="n"/>
      <c r="C249" s="14" t="n"/>
      <c r="D249" s="14" t="n"/>
      <c r="E249" s="13" t="n"/>
      <c r="F249" s="13" t="n"/>
      <c r="G249" s="13" t="n"/>
      <c r="H249" s="13" t="n"/>
      <c r="I249" s="13" t="n"/>
      <c r="J249" s="28">
        <f>IF(OR(B249="",D249=""),"",D249-B249)</f>
        <v/>
      </c>
      <c r="K249" s="28">
        <f>IF(AND(G249="有",J249&lt;&gt;""),J249,"")</f>
        <v/>
      </c>
      <c r="L249" s="28">
        <f>IF(AND(G249="無",J249&lt;&gt;""),J249,"")</f>
        <v/>
      </c>
      <c r="M249" s="13" t="n"/>
    </row>
    <row r="250">
      <c r="A250" s="13" t="n"/>
      <c r="B250" s="14" t="n"/>
      <c r="C250" s="14" t="n"/>
      <c r="D250" s="14" t="n"/>
      <c r="E250" s="13" t="n"/>
      <c r="F250" s="13" t="n"/>
      <c r="G250" s="13" t="n"/>
      <c r="H250" s="13" t="n"/>
      <c r="I250" s="13" t="n"/>
      <c r="J250" s="28">
        <f>IF(OR(B250="",D250=""),"",D250-B250)</f>
        <v/>
      </c>
      <c r="K250" s="28">
        <f>IF(AND(G250="有",J250&lt;&gt;""),J250,"")</f>
        <v/>
      </c>
      <c r="L250" s="28">
        <f>IF(AND(G250="無",J250&lt;&gt;""),J250,"")</f>
        <v/>
      </c>
      <c r="M250" s="13" t="n"/>
    </row>
    <row r="251">
      <c r="A251" s="13" t="n"/>
      <c r="B251" s="14" t="n"/>
      <c r="C251" s="14" t="n"/>
      <c r="D251" s="14" t="n"/>
      <c r="E251" s="13" t="n"/>
      <c r="F251" s="13" t="n"/>
      <c r="G251" s="13" t="n"/>
      <c r="H251" s="13" t="n"/>
      <c r="I251" s="13" t="n"/>
      <c r="J251" s="28">
        <f>IF(OR(B251="",D251=""),"",D251-B251)</f>
        <v/>
      </c>
      <c r="K251" s="28">
        <f>IF(AND(G251="有",J251&lt;&gt;""),J251,"")</f>
        <v/>
      </c>
      <c r="L251" s="28">
        <f>IF(AND(G251="無",J251&lt;&gt;""),J251,"")</f>
        <v/>
      </c>
      <c r="M251" s="13" t="n"/>
    </row>
    <row r="252">
      <c r="A252" s="13" t="n"/>
      <c r="B252" s="14" t="n"/>
      <c r="C252" s="14" t="n"/>
      <c r="D252" s="14" t="n"/>
      <c r="E252" s="13" t="n"/>
      <c r="F252" s="13" t="n"/>
      <c r="G252" s="13" t="n"/>
      <c r="H252" s="13" t="n"/>
      <c r="I252" s="13" t="n"/>
      <c r="J252" s="28">
        <f>IF(OR(B252="",D252=""),"",D252-B252)</f>
        <v/>
      </c>
      <c r="K252" s="28">
        <f>IF(AND(G252="有",J252&lt;&gt;""),J252,"")</f>
        <v/>
      </c>
      <c r="L252" s="28">
        <f>IF(AND(G252="無",J252&lt;&gt;""),J252,"")</f>
        <v/>
      </c>
      <c r="M252" s="13" t="n"/>
    </row>
    <row r="253">
      <c r="A253" s="13" t="n"/>
      <c r="B253" s="14" t="n"/>
      <c r="C253" s="14" t="n"/>
      <c r="D253" s="14" t="n"/>
      <c r="E253" s="13" t="n"/>
      <c r="F253" s="13" t="n"/>
      <c r="G253" s="13" t="n"/>
      <c r="H253" s="13" t="n"/>
      <c r="I253" s="13" t="n"/>
      <c r="J253" s="28">
        <f>IF(OR(B253="",D253=""),"",D253-B253)</f>
        <v/>
      </c>
      <c r="K253" s="28">
        <f>IF(AND(G253="有",J253&lt;&gt;""),J253,"")</f>
        <v/>
      </c>
      <c r="L253" s="28">
        <f>IF(AND(G253="無",J253&lt;&gt;""),J253,"")</f>
        <v/>
      </c>
      <c r="M253" s="13" t="n"/>
    </row>
    <row r="254">
      <c r="A254" s="13" t="n"/>
      <c r="B254" s="14" t="n"/>
      <c r="C254" s="14" t="n"/>
      <c r="D254" s="14" t="n"/>
      <c r="E254" s="13" t="n"/>
      <c r="F254" s="13" t="n"/>
      <c r="G254" s="13" t="n"/>
      <c r="H254" s="13" t="n"/>
      <c r="I254" s="13" t="n"/>
      <c r="J254" s="28">
        <f>IF(OR(B254="",D254=""),"",D254-B254)</f>
        <v/>
      </c>
      <c r="K254" s="28">
        <f>IF(AND(G254="有",J254&lt;&gt;""),J254,"")</f>
        <v/>
      </c>
      <c r="L254" s="28">
        <f>IF(AND(G254="無",J254&lt;&gt;""),J254,"")</f>
        <v/>
      </c>
      <c r="M254" s="13" t="n"/>
    </row>
    <row r="255">
      <c r="A255" s="13" t="n"/>
      <c r="B255" s="14" t="n"/>
      <c r="C255" s="14" t="n"/>
      <c r="D255" s="14" t="n"/>
      <c r="E255" s="13" t="n"/>
      <c r="F255" s="13" t="n"/>
      <c r="G255" s="13" t="n"/>
      <c r="H255" s="13" t="n"/>
      <c r="I255" s="13" t="n"/>
      <c r="J255" s="28">
        <f>IF(OR(B255="",D255=""),"",D255-B255)</f>
        <v/>
      </c>
      <c r="K255" s="28">
        <f>IF(AND(G255="有",J255&lt;&gt;""),J255,"")</f>
        <v/>
      </c>
      <c r="L255" s="28">
        <f>IF(AND(G255="無",J255&lt;&gt;""),J255,"")</f>
        <v/>
      </c>
      <c r="M255" s="13" t="n"/>
    </row>
    <row r="256">
      <c r="A256" s="13" t="n"/>
      <c r="B256" s="14" t="n"/>
      <c r="C256" s="14" t="n"/>
      <c r="D256" s="14" t="n"/>
      <c r="E256" s="13" t="n"/>
      <c r="F256" s="13" t="n"/>
      <c r="G256" s="13" t="n"/>
      <c r="H256" s="13" t="n"/>
      <c r="I256" s="13" t="n"/>
      <c r="J256" s="28">
        <f>IF(OR(B256="",D256=""),"",D256-B256)</f>
        <v/>
      </c>
      <c r="K256" s="28">
        <f>IF(AND(G256="有",J256&lt;&gt;""),J256,"")</f>
        <v/>
      </c>
      <c r="L256" s="28">
        <f>IF(AND(G256="無",J256&lt;&gt;""),J256,"")</f>
        <v/>
      </c>
      <c r="M256" s="13" t="n"/>
    </row>
    <row r="257">
      <c r="A257" s="13" t="n"/>
      <c r="B257" s="14" t="n"/>
      <c r="C257" s="14" t="n"/>
      <c r="D257" s="14" t="n"/>
      <c r="E257" s="13" t="n"/>
      <c r="F257" s="13" t="n"/>
      <c r="G257" s="13" t="n"/>
      <c r="H257" s="13" t="n"/>
      <c r="I257" s="13" t="n"/>
      <c r="J257" s="28">
        <f>IF(OR(B257="",D257=""),"",D257-B257)</f>
        <v/>
      </c>
      <c r="K257" s="28">
        <f>IF(AND(G257="有",J257&lt;&gt;""),J257,"")</f>
        <v/>
      </c>
      <c r="L257" s="28">
        <f>IF(AND(G257="無",J257&lt;&gt;""),J257,"")</f>
        <v/>
      </c>
      <c r="M257" s="13" t="n"/>
    </row>
    <row r="258">
      <c r="A258" s="13" t="n"/>
      <c r="B258" s="14" t="n"/>
      <c r="C258" s="14" t="n"/>
      <c r="D258" s="14" t="n"/>
      <c r="E258" s="13" t="n"/>
      <c r="F258" s="13" t="n"/>
      <c r="G258" s="13" t="n"/>
      <c r="H258" s="13" t="n"/>
      <c r="I258" s="13" t="n"/>
      <c r="J258" s="28">
        <f>IF(OR(B258="",D258=""),"",D258-B258)</f>
        <v/>
      </c>
      <c r="K258" s="28">
        <f>IF(AND(G258="有",J258&lt;&gt;""),J258,"")</f>
        <v/>
      </c>
      <c r="L258" s="28">
        <f>IF(AND(G258="無",J258&lt;&gt;""),J258,"")</f>
        <v/>
      </c>
      <c r="M258" s="13" t="n"/>
    </row>
    <row r="259">
      <c r="A259" s="13" t="n"/>
      <c r="B259" s="14" t="n"/>
      <c r="C259" s="14" t="n"/>
      <c r="D259" s="14" t="n"/>
      <c r="E259" s="13" t="n"/>
      <c r="F259" s="13" t="n"/>
      <c r="G259" s="13" t="n"/>
      <c r="H259" s="13" t="n"/>
      <c r="I259" s="13" t="n"/>
      <c r="J259" s="28">
        <f>IF(OR(B259="",D259=""),"",D259-B259)</f>
        <v/>
      </c>
      <c r="K259" s="28">
        <f>IF(AND(G259="有",J259&lt;&gt;""),J259,"")</f>
        <v/>
      </c>
      <c r="L259" s="28">
        <f>IF(AND(G259="無",J259&lt;&gt;""),J259,"")</f>
        <v/>
      </c>
      <c r="M259" s="13" t="n"/>
    </row>
    <row r="260">
      <c r="A260" s="13" t="n"/>
      <c r="B260" s="14" t="n"/>
      <c r="C260" s="14" t="n"/>
      <c r="D260" s="14" t="n"/>
      <c r="E260" s="13" t="n"/>
      <c r="F260" s="13" t="n"/>
      <c r="G260" s="13" t="n"/>
      <c r="H260" s="13" t="n"/>
      <c r="I260" s="13" t="n"/>
      <c r="J260" s="28">
        <f>IF(OR(B260="",D260=""),"",D260-B260)</f>
        <v/>
      </c>
      <c r="K260" s="28">
        <f>IF(AND(G260="有",J260&lt;&gt;""),J260,"")</f>
        <v/>
      </c>
      <c r="L260" s="28">
        <f>IF(AND(G260="無",J260&lt;&gt;""),J260,"")</f>
        <v/>
      </c>
      <c r="M260" s="13" t="n"/>
    </row>
    <row r="261">
      <c r="A261" s="13" t="n"/>
      <c r="B261" s="14" t="n"/>
      <c r="C261" s="14" t="n"/>
      <c r="D261" s="14" t="n"/>
      <c r="E261" s="13" t="n"/>
      <c r="F261" s="13" t="n"/>
      <c r="G261" s="13" t="n"/>
      <c r="H261" s="13" t="n"/>
      <c r="I261" s="13" t="n"/>
      <c r="J261" s="28">
        <f>IF(OR(B261="",D261=""),"",D261-B261)</f>
        <v/>
      </c>
      <c r="K261" s="28">
        <f>IF(AND(G261="有",J261&lt;&gt;""),J261,"")</f>
        <v/>
      </c>
      <c r="L261" s="28">
        <f>IF(AND(G261="無",J261&lt;&gt;""),J261,"")</f>
        <v/>
      </c>
      <c r="M261" s="13" t="n"/>
    </row>
    <row r="262">
      <c r="A262" s="13" t="n"/>
      <c r="B262" s="14" t="n"/>
      <c r="C262" s="14" t="n"/>
      <c r="D262" s="14" t="n"/>
      <c r="E262" s="13" t="n"/>
      <c r="F262" s="13" t="n"/>
      <c r="G262" s="13" t="n"/>
      <c r="H262" s="13" t="n"/>
      <c r="I262" s="13" t="n"/>
      <c r="J262" s="28">
        <f>IF(OR(B262="",D262=""),"",D262-B262)</f>
        <v/>
      </c>
      <c r="K262" s="28">
        <f>IF(AND(G262="有",J262&lt;&gt;""),J262,"")</f>
        <v/>
      </c>
      <c r="L262" s="28">
        <f>IF(AND(G262="無",J262&lt;&gt;""),J262,"")</f>
        <v/>
      </c>
      <c r="M262" s="13" t="n"/>
    </row>
    <row r="263">
      <c r="A263" s="13" t="n"/>
      <c r="B263" s="14" t="n"/>
      <c r="C263" s="14" t="n"/>
      <c r="D263" s="14" t="n"/>
      <c r="E263" s="13" t="n"/>
      <c r="F263" s="13" t="n"/>
      <c r="G263" s="13" t="n"/>
      <c r="H263" s="13" t="n"/>
      <c r="I263" s="13" t="n"/>
      <c r="J263" s="28">
        <f>IF(OR(B263="",D263=""),"",D263-B263)</f>
        <v/>
      </c>
      <c r="K263" s="28">
        <f>IF(AND(G263="有",J263&lt;&gt;""),J263,"")</f>
        <v/>
      </c>
      <c r="L263" s="28">
        <f>IF(AND(G263="無",J263&lt;&gt;""),J263,"")</f>
        <v/>
      </c>
      <c r="M263" s="13" t="n"/>
    </row>
    <row r="264">
      <c r="A264" s="13" t="n"/>
      <c r="B264" s="14" t="n"/>
      <c r="C264" s="14" t="n"/>
      <c r="D264" s="14" t="n"/>
      <c r="E264" s="13" t="n"/>
      <c r="F264" s="13" t="n"/>
      <c r="G264" s="13" t="n"/>
      <c r="H264" s="13" t="n"/>
      <c r="I264" s="13" t="n"/>
      <c r="J264" s="28">
        <f>IF(OR(B264="",D264=""),"",D264-B264)</f>
        <v/>
      </c>
      <c r="K264" s="28">
        <f>IF(AND(G264="有",J264&lt;&gt;""),J264,"")</f>
        <v/>
      </c>
      <c r="L264" s="28">
        <f>IF(AND(G264="無",J264&lt;&gt;""),J264,"")</f>
        <v/>
      </c>
      <c r="M264" s="13" t="n"/>
    </row>
    <row r="265">
      <c r="A265" s="13" t="n"/>
      <c r="B265" s="14" t="n"/>
      <c r="C265" s="14" t="n"/>
      <c r="D265" s="14" t="n"/>
      <c r="E265" s="13" t="n"/>
      <c r="F265" s="13" t="n"/>
      <c r="G265" s="13" t="n"/>
      <c r="H265" s="13" t="n"/>
      <c r="I265" s="13" t="n"/>
      <c r="J265" s="28">
        <f>IF(OR(B265="",D265=""),"",D265-B265)</f>
        <v/>
      </c>
      <c r="K265" s="28">
        <f>IF(AND(G265="有",J265&lt;&gt;""),J265,"")</f>
        <v/>
      </c>
      <c r="L265" s="28">
        <f>IF(AND(G265="無",J265&lt;&gt;""),J265,"")</f>
        <v/>
      </c>
      <c r="M265" s="13" t="n"/>
    </row>
    <row r="266">
      <c r="A266" s="13" t="n"/>
      <c r="B266" s="14" t="n"/>
      <c r="C266" s="14" t="n"/>
      <c r="D266" s="14" t="n"/>
      <c r="E266" s="13" t="n"/>
      <c r="F266" s="13" t="n"/>
      <c r="G266" s="13" t="n"/>
      <c r="H266" s="13" t="n"/>
      <c r="I266" s="13" t="n"/>
      <c r="J266" s="28">
        <f>IF(OR(B266="",D266=""),"",D266-B266)</f>
        <v/>
      </c>
      <c r="K266" s="28">
        <f>IF(AND(G266="有",J266&lt;&gt;""),J266,"")</f>
        <v/>
      </c>
      <c r="L266" s="28">
        <f>IF(AND(G266="無",J266&lt;&gt;""),J266,"")</f>
        <v/>
      </c>
      <c r="M266" s="13" t="n"/>
    </row>
    <row r="267">
      <c r="A267" s="13" t="n"/>
      <c r="B267" s="14" t="n"/>
      <c r="C267" s="14" t="n"/>
      <c r="D267" s="14" t="n"/>
      <c r="E267" s="13" t="n"/>
      <c r="F267" s="13" t="n"/>
      <c r="G267" s="13" t="n"/>
      <c r="H267" s="13" t="n"/>
      <c r="I267" s="13" t="n"/>
      <c r="J267" s="28">
        <f>IF(OR(B267="",D267=""),"",D267-B267)</f>
        <v/>
      </c>
      <c r="K267" s="28">
        <f>IF(AND(G267="有",J267&lt;&gt;""),J267,"")</f>
        <v/>
      </c>
      <c r="L267" s="28">
        <f>IF(AND(G267="無",J267&lt;&gt;""),J267,"")</f>
        <v/>
      </c>
      <c r="M267" s="13" t="n"/>
    </row>
    <row r="268">
      <c r="A268" s="13" t="n"/>
      <c r="B268" s="14" t="n"/>
      <c r="C268" s="14" t="n"/>
      <c r="D268" s="14" t="n"/>
      <c r="E268" s="13" t="n"/>
      <c r="F268" s="13" t="n"/>
      <c r="G268" s="13" t="n"/>
      <c r="H268" s="13" t="n"/>
      <c r="I268" s="13" t="n"/>
      <c r="J268" s="28">
        <f>IF(OR(B268="",D268=""),"",D268-B268)</f>
        <v/>
      </c>
      <c r="K268" s="28">
        <f>IF(AND(G268="有",J268&lt;&gt;""),J268,"")</f>
        <v/>
      </c>
      <c r="L268" s="28">
        <f>IF(AND(G268="無",J268&lt;&gt;""),J268,"")</f>
        <v/>
      </c>
      <c r="M268" s="13" t="n"/>
    </row>
    <row r="269">
      <c r="A269" s="13" t="n"/>
      <c r="B269" s="14" t="n"/>
      <c r="C269" s="14" t="n"/>
      <c r="D269" s="14" t="n"/>
      <c r="E269" s="13" t="n"/>
      <c r="F269" s="13" t="n"/>
      <c r="G269" s="13" t="n"/>
      <c r="H269" s="13" t="n"/>
      <c r="I269" s="13" t="n"/>
      <c r="J269" s="28">
        <f>IF(OR(B269="",D269=""),"",D269-B269)</f>
        <v/>
      </c>
      <c r="K269" s="28">
        <f>IF(AND(G269="有",J269&lt;&gt;""),J269,"")</f>
        <v/>
      </c>
      <c r="L269" s="28">
        <f>IF(AND(G269="無",J269&lt;&gt;""),J269,"")</f>
        <v/>
      </c>
      <c r="M269" s="13" t="n"/>
    </row>
    <row r="270">
      <c r="A270" s="13" t="n"/>
      <c r="B270" s="14" t="n"/>
      <c r="C270" s="14" t="n"/>
      <c r="D270" s="14" t="n"/>
      <c r="E270" s="13" t="n"/>
      <c r="F270" s="13" t="n"/>
      <c r="G270" s="13" t="n"/>
      <c r="H270" s="13" t="n"/>
      <c r="I270" s="13" t="n"/>
      <c r="J270" s="28">
        <f>IF(OR(B270="",D270=""),"",D270-B270)</f>
        <v/>
      </c>
      <c r="K270" s="28">
        <f>IF(AND(G270="有",J270&lt;&gt;""),J270,"")</f>
        <v/>
      </c>
      <c r="L270" s="28">
        <f>IF(AND(G270="無",J270&lt;&gt;""),J270,"")</f>
        <v/>
      </c>
      <c r="M270" s="13" t="n"/>
    </row>
    <row r="271">
      <c r="A271" s="13" t="n"/>
      <c r="B271" s="14" t="n"/>
      <c r="C271" s="14" t="n"/>
      <c r="D271" s="14" t="n"/>
      <c r="E271" s="13" t="n"/>
      <c r="F271" s="13" t="n"/>
      <c r="G271" s="13" t="n"/>
      <c r="H271" s="13" t="n"/>
      <c r="I271" s="13" t="n"/>
      <c r="J271" s="28">
        <f>IF(OR(B271="",D271=""),"",D271-B271)</f>
        <v/>
      </c>
      <c r="K271" s="28">
        <f>IF(AND(G271="有",J271&lt;&gt;""),J271,"")</f>
        <v/>
      </c>
      <c r="L271" s="28">
        <f>IF(AND(G271="無",J271&lt;&gt;""),J271,"")</f>
        <v/>
      </c>
      <c r="M271" s="13" t="n"/>
    </row>
    <row r="272">
      <c r="A272" s="13" t="n"/>
      <c r="B272" s="14" t="n"/>
      <c r="C272" s="14" t="n"/>
      <c r="D272" s="14" t="n"/>
      <c r="E272" s="13" t="n"/>
      <c r="F272" s="13" t="n"/>
      <c r="G272" s="13" t="n"/>
      <c r="H272" s="13" t="n"/>
      <c r="I272" s="13" t="n"/>
      <c r="J272" s="28">
        <f>IF(OR(B272="",D272=""),"",D272-B272)</f>
        <v/>
      </c>
      <c r="K272" s="28">
        <f>IF(AND(G272="有",J272&lt;&gt;""),J272,"")</f>
        <v/>
      </c>
      <c r="L272" s="28">
        <f>IF(AND(G272="無",J272&lt;&gt;""),J272,"")</f>
        <v/>
      </c>
      <c r="M272" s="13" t="n"/>
    </row>
    <row r="273">
      <c r="A273" s="13" t="n"/>
      <c r="B273" s="14" t="n"/>
      <c r="C273" s="14" t="n"/>
      <c r="D273" s="14" t="n"/>
      <c r="E273" s="13" t="n"/>
      <c r="F273" s="13" t="n"/>
      <c r="G273" s="13" t="n"/>
      <c r="H273" s="13" t="n"/>
      <c r="I273" s="13" t="n"/>
      <c r="J273" s="28">
        <f>IF(OR(B273="",D273=""),"",D273-B273)</f>
        <v/>
      </c>
      <c r="K273" s="28">
        <f>IF(AND(G273="有",J273&lt;&gt;""),J273,"")</f>
        <v/>
      </c>
      <c r="L273" s="28">
        <f>IF(AND(G273="無",J273&lt;&gt;""),J273,"")</f>
        <v/>
      </c>
      <c r="M273" s="13" t="n"/>
    </row>
    <row r="274">
      <c r="A274" s="13" t="n"/>
      <c r="B274" s="14" t="n"/>
      <c r="C274" s="14" t="n"/>
      <c r="D274" s="14" t="n"/>
      <c r="E274" s="13" t="n"/>
      <c r="F274" s="13" t="n"/>
      <c r="G274" s="13" t="n"/>
      <c r="H274" s="13" t="n"/>
      <c r="I274" s="13" t="n"/>
      <c r="J274" s="28">
        <f>IF(OR(B274="",D274=""),"",D274-B274)</f>
        <v/>
      </c>
      <c r="K274" s="28">
        <f>IF(AND(G274="有",J274&lt;&gt;""),J274,"")</f>
        <v/>
      </c>
      <c r="L274" s="28">
        <f>IF(AND(G274="無",J274&lt;&gt;""),J274,"")</f>
        <v/>
      </c>
      <c r="M274" s="13" t="n"/>
    </row>
    <row r="275">
      <c r="A275" s="13" t="n"/>
      <c r="B275" s="14" t="n"/>
      <c r="C275" s="14" t="n"/>
      <c r="D275" s="14" t="n"/>
      <c r="E275" s="13" t="n"/>
      <c r="F275" s="13" t="n"/>
      <c r="G275" s="13" t="n"/>
      <c r="H275" s="13" t="n"/>
      <c r="I275" s="13" t="n"/>
      <c r="J275" s="28">
        <f>IF(OR(B275="",D275=""),"",D275-B275)</f>
        <v/>
      </c>
      <c r="K275" s="28">
        <f>IF(AND(G275="有",J275&lt;&gt;""),J275,"")</f>
        <v/>
      </c>
      <c r="L275" s="28">
        <f>IF(AND(G275="無",J275&lt;&gt;""),J275,"")</f>
        <v/>
      </c>
      <c r="M275" s="13" t="n"/>
    </row>
    <row r="276">
      <c r="A276" s="13" t="n"/>
      <c r="B276" s="14" t="n"/>
      <c r="C276" s="14" t="n"/>
      <c r="D276" s="14" t="n"/>
      <c r="E276" s="13" t="n"/>
      <c r="F276" s="13" t="n"/>
      <c r="G276" s="13" t="n"/>
      <c r="H276" s="13" t="n"/>
      <c r="I276" s="13" t="n"/>
      <c r="J276" s="28">
        <f>IF(OR(B276="",D276=""),"",D276-B276)</f>
        <v/>
      </c>
      <c r="K276" s="28">
        <f>IF(AND(G276="有",J276&lt;&gt;""),J276,"")</f>
        <v/>
      </c>
      <c r="L276" s="28">
        <f>IF(AND(G276="無",J276&lt;&gt;""),J276,"")</f>
        <v/>
      </c>
      <c r="M276" s="13" t="n"/>
    </row>
    <row r="277">
      <c r="A277" s="13" t="n"/>
      <c r="B277" s="14" t="n"/>
      <c r="C277" s="14" t="n"/>
      <c r="D277" s="14" t="n"/>
      <c r="E277" s="13" t="n"/>
      <c r="F277" s="13" t="n"/>
      <c r="G277" s="13" t="n"/>
      <c r="H277" s="13" t="n"/>
      <c r="I277" s="13" t="n"/>
      <c r="J277" s="28">
        <f>IF(OR(B277="",D277=""),"",D277-B277)</f>
        <v/>
      </c>
      <c r="K277" s="28">
        <f>IF(AND(G277="有",J277&lt;&gt;""),J277,"")</f>
        <v/>
      </c>
      <c r="L277" s="28">
        <f>IF(AND(G277="無",J277&lt;&gt;""),J277,"")</f>
        <v/>
      </c>
      <c r="M277" s="13" t="n"/>
    </row>
    <row r="278">
      <c r="A278" s="13" t="n"/>
      <c r="B278" s="14" t="n"/>
      <c r="C278" s="14" t="n"/>
      <c r="D278" s="14" t="n"/>
      <c r="E278" s="13" t="n"/>
      <c r="F278" s="13" t="n"/>
      <c r="G278" s="13" t="n"/>
      <c r="H278" s="13" t="n"/>
      <c r="I278" s="13" t="n"/>
      <c r="J278" s="28">
        <f>IF(OR(B278="",D278=""),"",D278-B278)</f>
        <v/>
      </c>
      <c r="K278" s="28">
        <f>IF(AND(G278="有",J278&lt;&gt;""),J278,"")</f>
        <v/>
      </c>
      <c r="L278" s="28">
        <f>IF(AND(G278="無",J278&lt;&gt;""),J278,"")</f>
        <v/>
      </c>
      <c r="M278" s="13" t="n"/>
    </row>
    <row r="279">
      <c r="A279" s="13" t="n"/>
      <c r="B279" s="14" t="n"/>
      <c r="C279" s="14" t="n"/>
      <c r="D279" s="14" t="n"/>
      <c r="E279" s="13" t="n"/>
      <c r="F279" s="13" t="n"/>
      <c r="G279" s="13" t="n"/>
      <c r="H279" s="13" t="n"/>
      <c r="I279" s="13" t="n"/>
      <c r="J279" s="28">
        <f>IF(OR(B279="",D279=""),"",D279-B279)</f>
        <v/>
      </c>
      <c r="K279" s="28">
        <f>IF(AND(G279="有",J279&lt;&gt;""),J279,"")</f>
        <v/>
      </c>
      <c r="L279" s="28">
        <f>IF(AND(G279="無",J279&lt;&gt;""),J279,"")</f>
        <v/>
      </c>
      <c r="M279" s="13" t="n"/>
    </row>
    <row r="280">
      <c r="A280" s="13" t="n"/>
      <c r="B280" s="14" t="n"/>
      <c r="C280" s="14" t="n"/>
      <c r="D280" s="14" t="n"/>
      <c r="E280" s="13" t="n"/>
      <c r="F280" s="13" t="n"/>
      <c r="G280" s="13" t="n"/>
      <c r="H280" s="13" t="n"/>
      <c r="I280" s="13" t="n"/>
      <c r="J280" s="28">
        <f>IF(OR(B280="",D280=""),"",D280-B280)</f>
        <v/>
      </c>
      <c r="K280" s="28">
        <f>IF(AND(G280="有",J280&lt;&gt;""),J280,"")</f>
        <v/>
      </c>
      <c r="L280" s="28">
        <f>IF(AND(G280="無",J280&lt;&gt;""),J280,"")</f>
        <v/>
      </c>
      <c r="M280" s="13" t="n"/>
    </row>
    <row r="281">
      <c r="A281" s="13" t="n"/>
      <c r="B281" s="14" t="n"/>
      <c r="C281" s="14" t="n"/>
      <c r="D281" s="14" t="n"/>
      <c r="E281" s="13" t="n"/>
      <c r="F281" s="13" t="n"/>
      <c r="G281" s="13" t="n"/>
      <c r="H281" s="13" t="n"/>
      <c r="I281" s="13" t="n"/>
      <c r="J281" s="28">
        <f>IF(OR(B281="",D281=""),"",D281-B281)</f>
        <v/>
      </c>
      <c r="K281" s="28">
        <f>IF(AND(G281="有",J281&lt;&gt;""),J281,"")</f>
        <v/>
      </c>
      <c r="L281" s="28">
        <f>IF(AND(G281="無",J281&lt;&gt;""),J281,"")</f>
        <v/>
      </c>
      <c r="M281" s="13" t="n"/>
    </row>
    <row r="282">
      <c r="A282" s="13" t="n"/>
      <c r="B282" s="14" t="n"/>
      <c r="C282" s="14" t="n"/>
      <c r="D282" s="14" t="n"/>
      <c r="E282" s="13" t="n"/>
      <c r="F282" s="13" t="n"/>
      <c r="G282" s="13" t="n"/>
      <c r="H282" s="13" t="n"/>
      <c r="I282" s="13" t="n"/>
      <c r="J282" s="28">
        <f>IF(OR(B282="",D282=""),"",D282-B282)</f>
        <v/>
      </c>
      <c r="K282" s="28">
        <f>IF(AND(G282="有",J282&lt;&gt;""),J282,"")</f>
        <v/>
      </c>
      <c r="L282" s="28">
        <f>IF(AND(G282="無",J282&lt;&gt;""),J282,"")</f>
        <v/>
      </c>
      <c r="M282" s="13" t="n"/>
    </row>
    <row r="283">
      <c r="A283" s="13" t="n"/>
      <c r="B283" s="14" t="n"/>
      <c r="C283" s="14" t="n"/>
      <c r="D283" s="14" t="n"/>
      <c r="E283" s="13" t="n"/>
      <c r="F283" s="13" t="n"/>
      <c r="G283" s="13" t="n"/>
      <c r="H283" s="13" t="n"/>
      <c r="I283" s="13" t="n"/>
      <c r="J283" s="28">
        <f>IF(OR(B283="",D283=""),"",D283-B283)</f>
        <v/>
      </c>
      <c r="K283" s="28">
        <f>IF(AND(G283="有",J283&lt;&gt;""),J283,"")</f>
        <v/>
      </c>
      <c r="L283" s="28">
        <f>IF(AND(G283="無",J283&lt;&gt;""),J283,"")</f>
        <v/>
      </c>
      <c r="M283" s="13" t="n"/>
    </row>
    <row r="284">
      <c r="A284" s="13" t="n"/>
      <c r="B284" s="14" t="n"/>
      <c r="C284" s="14" t="n"/>
      <c r="D284" s="14" t="n"/>
      <c r="E284" s="13" t="n"/>
      <c r="F284" s="13" t="n"/>
      <c r="G284" s="13" t="n"/>
      <c r="H284" s="13" t="n"/>
      <c r="I284" s="13" t="n"/>
      <c r="J284" s="28">
        <f>IF(OR(B284="",D284=""),"",D284-B284)</f>
        <v/>
      </c>
      <c r="K284" s="28">
        <f>IF(AND(G284="有",J284&lt;&gt;""),J284,"")</f>
        <v/>
      </c>
      <c r="L284" s="28">
        <f>IF(AND(G284="無",J284&lt;&gt;""),J284,"")</f>
        <v/>
      </c>
      <c r="M284" s="13" t="n"/>
    </row>
    <row r="285">
      <c r="A285" s="13" t="n"/>
      <c r="B285" s="14" t="n"/>
      <c r="C285" s="14" t="n"/>
      <c r="D285" s="14" t="n"/>
      <c r="E285" s="13" t="n"/>
      <c r="F285" s="13" t="n"/>
      <c r="G285" s="13" t="n"/>
      <c r="H285" s="13" t="n"/>
      <c r="I285" s="13" t="n"/>
      <c r="J285" s="28">
        <f>IF(OR(B285="",D285=""),"",D285-B285)</f>
        <v/>
      </c>
      <c r="K285" s="28">
        <f>IF(AND(G285="有",J285&lt;&gt;""),J285,"")</f>
        <v/>
      </c>
      <c r="L285" s="28">
        <f>IF(AND(G285="無",J285&lt;&gt;""),J285,"")</f>
        <v/>
      </c>
      <c r="M285" s="13" t="n"/>
    </row>
    <row r="286">
      <c r="A286" s="13" t="n"/>
      <c r="B286" s="14" t="n"/>
      <c r="C286" s="14" t="n"/>
      <c r="D286" s="14" t="n"/>
      <c r="E286" s="13" t="n"/>
      <c r="F286" s="13" t="n"/>
      <c r="G286" s="13" t="n"/>
      <c r="H286" s="13" t="n"/>
      <c r="I286" s="13" t="n"/>
      <c r="J286" s="28">
        <f>IF(OR(B286="",D286=""),"",D286-B286)</f>
        <v/>
      </c>
      <c r="K286" s="28">
        <f>IF(AND(G286="有",J286&lt;&gt;""),J286,"")</f>
        <v/>
      </c>
      <c r="L286" s="28">
        <f>IF(AND(G286="無",J286&lt;&gt;""),J286,"")</f>
        <v/>
      </c>
      <c r="M286" s="13" t="n"/>
    </row>
    <row r="287">
      <c r="A287" s="13" t="n"/>
      <c r="B287" s="14" t="n"/>
      <c r="C287" s="14" t="n"/>
      <c r="D287" s="14" t="n"/>
      <c r="E287" s="13" t="n"/>
      <c r="F287" s="13" t="n"/>
      <c r="G287" s="13" t="n"/>
      <c r="H287" s="13" t="n"/>
      <c r="I287" s="13" t="n"/>
      <c r="J287" s="28">
        <f>IF(OR(B287="",D287=""),"",D287-B287)</f>
        <v/>
      </c>
      <c r="K287" s="28">
        <f>IF(AND(G287="有",J287&lt;&gt;""),J287,"")</f>
        <v/>
      </c>
      <c r="L287" s="28">
        <f>IF(AND(G287="無",J287&lt;&gt;""),J287,"")</f>
        <v/>
      </c>
      <c r="M287" s="13" t="n"/>
    </row>
    <row r="288">
      <c r="A288" s="13" t="n"/>
      <c r="B288" s="14" t="n"/>
      <c r="C288" s="14" t="n"/>
      <c r="D288" s="14" t="n"/>
      <c r="E288" s="13" t="n"/>
      <c r="F288" s="13" t="n"/>
      <c r="G288" s="13" t="n"/>
      <c r="H288" s="13" t="n"/>
      <c r="I288" s="13" t="n"/>
      <c r="J288" s="28">
        <f>IF(OR(B288="",D288=""),"",D288-B288)</f>
        <v/>
      </c>
      <c r="K288" s="28">
        <f>IF(AND(G288="有",J288&lt;&gt;""),J288,"")</f>
        <v/>
      </c>
      <c r="L288" s="28">
        <f>IF(AND(G288="無",J288&lt;&gt;""),J288,"")</f>
        <v/>
      </c>
      <c r="M288" s="13" t="n"/>
    </row>
    <row r="289">
      <c r="A289" s="13" t="n"/>
      <c r="B289" s="14" t="n"/>
      <c r="C289" s="14" t="n"/>
      <c r="D289" s="14" t="n"/>
      <c r="E289" s="13" t="n"/>
      <c r="F289" s="13" t="n"/>
      <c r="G289" s="13" t="n"/>
      <c r="H289" s="13" t="n"/>
      <c r="I289" s="13" t="n"/>
      <c r="J289" s="28">
        <f>IF(OR(B289="",D289=""),"",D289-B289)</f>
        <v/>
      </c>
      <c r="K289" s="28">
        <f>IF(AND(G289="有",J289&lt;&gt;""),J289,"")</f>
        <v/>
      </c>
      <c r="L289" s="28">
        <f>IF(AND(G289="無",J289&lt;&gt;""),J289,"")</f>
        <v/>
      </c>
      <c r="M289" s="13" t="n"/>
    </row>
    <row r="290">
      <c r="A290" s="13" t="n"/>
      <c r="B290" s="14" t="n"/>
      <c r="C290" s="14" t="n"/>
      <c r="D290" s="14" t="n"/>
      <c r="E290" s="13" t="n"/>
      <c r="F290" s="13" t="n"/>
      <c r="G290" s="13" t="n"/>
      <c r="H290" s="13" t="n"/>
      <c r="I290" s="13" t="n"/>
      <c r="J290" s="28">
        <f>IF(OR(B290="",D290=""),"",D290-B290)</f>
        <v/>
      </c>
      <c r="K290" s="28">
        <f>IF(AND(G290="有",J290&lt;&gt;""),J290,"")</f>
        <v/>
      </c>
      <c r="L290" s="28">
        <f>IF(AND(G290="無",J290&lt;&gt;""),J290,"")</f>
        <v/>
      </c>
      <c r="M290" s="13" t="n"/>
    </row>
    <row r="291">
      <c r="A291" s="13" t="n"/>
      <c r="B291" s="14" t="n"/>
      <c r="C291" s="14" t="n"/>
      <c r="D291" s="14" t="n"/>
      <c r="E291" s="13" t="n"/>
      <c r="F291" s="13" t="n"/>
      <c r="G291" s="13" t="n"/>
      <c r="H291" s="13" t="n"/>
      <c r="I291" s="13" t="n"/>
      <c r="J291" s="28">
        <f>IF(OR(B291="",D291=""),"",D291-B291)</f>
        <v/>
      </c>
      <c r="K291" s="28">
        <f>IF(AND(G291="有",J291&lt;&gt;""),J291,"")</f>
        <v/>
      </c>
      <c r="L291" s="28">
        <f>IF(AND(G291="無",J291&lt;&gt;""),J291,"")</f>
        <v/>
      </c>
      <c r="M291" s="13" t="n"/>
    </row>
    <row r="292">
      <c r="A292" s="13" t="n"/>
      <c r="B292" s="14" t="n"/>
      <c r="C292" s="14" t="n"/>
      <c r="D292" s="14" t="n"/>
      <c r="E292" s="13" t="n"/>
      <c r="F292" s="13" t="n"/>
      <c r="G292" s="13" t="n"/>
      <c r="H292" s="13" t="n"/>
      <c r="I292" s="13" t="n"/>
      <c r="J292" s="28">
        <f>IF(OR(B292="",D292=""),"",D292-B292)</f>
        <v/>
      </c>
      <c r="K292" s="28">
        <f>IF(AND(G292="有",J292&lt;&gt;""),J292,"")</f>
        <v/>
      </c>
      <c r="L292" s="28">
        <f>IF(AND(G292="無",J292&lt;&gt;""),J292,"")</f>
        <v/>
      </c>
      <c r="M292" s="13" t="n"/>
    </row>
    <row r="293">
      <c r="A293" s="13" t="n"/>
      <c r="B293" s="14" t="n"/>
      <c r="C293" s="14" t="n"/>
      <c r="D293" s="14" t="n"/>
      <c r="E293" s="13" t="n"/>
      <c r="F293" s="13" t="n"/>
      <c r="G293" s="13" t="n"/>
      <c r="H293" s="13" t="n"/>
      <c r="I293" s="13" t="n"/>
      <c r="J293" s="28">
        <f>IF(OR(B293="",D293=""),"",D293-B293)</f>
        <v/>
      </c>
      <c r="K293" s="28">
        <f>IF(AND(G293="有",J293&lt;&gt;""),J293,"")</f>
        <v/>
      </c>
      <c r="L293" s="28">
        <f>IF(AND(G293="無",J293&lt;&gt;""),J293,"")</f>
        <v/>
      </c>
      <c r="M293" s="13" t="n"/>
    </row>
    <row r="294">
      <c r="A294" s="13" t="n"/>
      <c r="B294" s="14" t="n"/>
      <c r="C294" s="14" t="n"/>
      <c r="D294" s="14" t="n"/>
      <c r="E294" s="13" t="n"/>
      <c r="F294" s="13" t="n"/>
      <c r="G294" s="13" t="n"/>
      <c r="H294" s="13" t="n"/>
      <c r="I294" s="13" t="n"/>
      <c r="J294" s="28">
        <f>IF(OR(B294="",D294=""),"",D294-B294)</f>
        <v/>
      </c>
      <c r="K294" s="28">
        <f>IF(AND(G294="有",J294&lt;&gt;""),J294,"")</f>
        <v/>
      </c>
      <c r="L294" s="28">
        <f>IF(AND(G294="無",J294&lt;&gt;""),J294,"")</f>
        <v/>
      </c>
      <c r="M294" s="13" t="n"/>
    </row>
    <row r="295">
      <c r="A295" s="13" t="n"/>
      <c r="B295" s="14" t="n"/>
      <c r="C295" s="14" t="n"/>
      <c r="D295" s="14" t="n"/>
      <c r="E295" s="13" t="n"/>
      <c r="F295" s="13" t="n"/>
      <c r="G295" s="13" t="n"/>
      <c r="H295" s="13" t="n"/>
      <c r="I295" s="13" t="n"/>
      <c r="J295" s="28">
        <f>IF(OR(B295="",D295=""),"",D295-B295)</f>
        <v/>
      </c>
      <c r="K295" s="28">
        <f>IF(AND(G295="有",J295&lt;&gt;""),J295,"")</f>
        <v/>
      </c>
      <c r="L295" s="28">
        <f>IF(AND(G295="無",J295&lt;&gt;""),J295,"")</f>
        <v/>
      </c>
      <c r="M295" s="13" t="n"/>
    </row>
    <row r="296">
      <c r="A296" s="13" t="n"/>
      <c r="B296" s="14" t="n"/>
      <c r="C296" s="14" t="n"/>
      <c r="D296" s="14" t="n"/>
      <c r="E296" s="13" t="n"/>
      <c r="F296" s="13" t="n"/>
      <c r="G296" s="13" t="n"/>
      <c r="H296" s="13" t="n"/>
      <c r="I296" s="13" t="n"/>
      <c r="J296" s="28">
        <f>IF(OR(B296="",D296=""),"",D296-B296)</f>
        <v/>
      </c>
      <c r="K296" s="28">
        <f>IF(AND(G296="有",J296&lt;&gt;""),J296,"")</f>
        <v/>
      </c>
      <c r="L296" s="28">
        <f>IF(AND(G296="無",J296&lt;&gt;""),J296,"")</f>
        <v/>
      </c>
      <c r="M296" s="13" t="n"/>
    </row>
    <row r="297">
      <c r="A297" s="13" t="n"/>
      <c r="B297" s="14" t="n"/>
      <c r="C297" s="14" t="n"/>
      <c r="D297" s="14" t="n"/>
      <c r="E297" s="13" t="n"/>
      <c r="F297" s="13" t="n"/>
      <c r="G297" s="13" t="n"/>
      <c r="H297" s="13" t="n"/>
      <c r="I297" s="13" t="n"/>
      <c r="J297" s="28">
        <f>IF(OR(B297="",D297=""),"",D297-B297)</f>
        <v/>
      </c>
      <c r="K297" s="28">
        <f>IF(AND(G297="有",J297&lt;&gt;""),J297,"")</f>
        <v/>
      </c>
      <c r="L297" s="28">
        <f>IF(AND(G297="無",J297&lt;&gt;""),J297,"")</f>
        <v/>
      </c>
      <c r="M297" s="13" t="n"/>
    </row>
    <row r="298">
      <c r="A298" s="13" t="n"/>
      <c r="B298" s="14" t="n"/>
      <c r="C298" s="14" t="n"/>
      <c r="D298" s="14" t="n"/>
      <c r="E298" s="13" t="n"/>
      <c r="F298" s="13" t="n"/>
      <c r="G298" s="13" t="n"/>
      <c r="H298" s="13" t="n"/>
      <c r="I298" s="13" t="n"/>
      <c r="J298" s="28">
        <f>IF(OR(B298="",D298=""),"",D298-B298)</f>
        <v/>
      </c>
      <c r="K298" s="28">
        <f>IF(AND(G298="有",J298&lt;&gt;""),J298,"")</f>
        <v/>
      </c>
      <c r="L298" s="28">
        <f>IF(AND(G298="無",J298&lt;&gt;""),J298,"")</f>
        <v/>
      </c>
      <c r="M298" s="13" t="n"/>
    </row>
    <row r="299">
      <c r="A299" s="13" t="n"/>
      <c r="B299" s="14" t="n"/>
      <c r="C299" s="14" t="n"/>
      <c r="D299" s="14" t="n"/>
      <c r="E299" s="13" t="n"/>
      <c r="F299" s="13" t="n"/>
      <c r="G299" s="13" t="n"/>
      <c r="H299" s="13" t="n"/>
      <c r="I299" s="13" t="n"/>
      <c r="J299" s="28">
        <f>IF(OR(B299="",D299=""),"",D299-B299)</f>
        <v/>
      </c>
      <c r="K299" s="28">
        <f>IF(AND(G299="有",J299&lt;&gt;""),J299,"")</f>
        <v/>
      </c>
      <c r="L299" s="28">
        <f>IF(AND(G299="無",J299&lt;&gt;""),J299,"")</f>
        <v/>
      </c>
      <c r="M299" s="13" t="n"/>
    </row>
    <row r="300">
      <c r="A300" s="13" t="n"/>
      <c r="B300" s="14" t="n"/>
      <c r="C300" s="14" t="n"/>
      <c r="D300" s="14" t="n"/>
      <c r="E300" s="13" t="n"/>
      <c r="F300" s="13" t="n"/>
      <c r="G300" s="13" t="n"/>
      <c r="H300" s="13" t="n"/>
      <c r="I300" s="13" t="n"/>
      <c r="J300" s="28">
        <f>IF(OR(B300="",D300=""),"",D300-B300)</f>
        <v/>
      </c>
      <c r="K300" s="28">
        <f>IF(AND(G300="有",J300&lt;&gt;""),J300,"")</f>
        <v/>
      </c>
      <c r="L300" s="28">
        <f>IF(AND(G300="無",J300&lt;&gt;""),J300,"")</f>
        <v/>
      </c>
      <c r="M300" s="13" t="n"/>
    </row>
    <row r="301">
      <c r="A301" s="13" t="n"/>
      <c r="B301" s="14" t="n"/>
      <c r="C301" s="14" t="n"/>
      <c r="D301" s="14" t="n"/>
      <c r="E301" s="13" t="n"/>
      <c r="F301" s="13" t="n"/>
      <c r="G301" s="13" t="n"/>
      <c r="H301" s="13" t="n"/>
      <c r="I301" s="13" t="n"/>
      <c r="J301" s="28">
        <f>IF(OR(B301="",D301=""),"",D301-B301)</f>
        <v/>
      </c>
      <c r="K301" s="28">
        <f>IF(AND(G301="有",J301&lt;&gt;""),J301,"")</f>
        <v/>
      </c>
      <c r="L301" s="28">
        <f>IF(AND(G301="無",J301&lt;&gt;""),J301,"")</f>
        <v/>
      </c>
      <c r="M301" s="13" t="n"/>
    </row>
    <row r="303">
      <c r="A303" s="27" t="inlineStr">
        <is>
          <t>「未受検」は、延期後に再予約されず検査が実施されないまま終わった症例。最も重い指標なので必ず拾ってください。</t>
        </is>
      </c>
    </row>
  </sheetData>
  <dataValidations count="4">
    <dataValidation sqref="E2:E301" showDropDown="0" showInputMessage="0" showErrorMessage="0" allowBlank="1" errorTitle="入力エラー" error="リストから選んでください" type="list">
      <formula1>"頭部,体幹部,手・手関節,四肢（手以外）,その他"</formula1>
    </dataValidation>
    <dataValidation sqref="F2:F301" showDropDown="0" showInputMessage="0" showErrorMessage="0" allowBlank="1" errorTitle="入力エラー" error="リストから選んでください" type="list">
      <formula1>"マグネットネイル,ジェルネイル,マニキュア,不明,なし"</formula1>
    </dataValidation>
    <dataValidation sqref="G2:G301" showDropDown="0" showInputMessage="0" showErrorMessage="0" allowBlank="1" errorTitle="入力エラー" error="リストから選んでください" type="list">
      <formula1>"有,無"</formula1>
    </dataValidation>
    <dataValidation sqref="I2:I301" showDropDown="0" showInputMessage="0" showErrorMessage="0" allowBlank="1" errorTitle="入力エラー" error="リストから選んでください" type="list">
      <formula1>"該当,非該当"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46" customWidth="1" min="3" max="3"/>
  </cols>
  <sheetData>
    <row r="1">
      <c r="A1" s="21" t="inlineStr">
        <is>
          <t>延期の実態（07_延期症例 から自動計算。入力不要）</t>
        </is>
      </c>
    </row>
    <row r="2">
      <c r="A2" s="20" t="inlineStr">
        <is>
          <t>発表の導入スライドはこの表の数値を使います。</t>
        </is>
      </c>
    </row>
    <row r="4">
      <c r="A4" s="25" t="inlineStr">
        <is>
          <t>対象症例数</t>
        </is>
      </c>
      <c r="B4" s="29">
        <f>COUNTA('07_延期症例'!$A$2:$A$301)</f>
        <v/>
      </c>
      <c r="C4" s="20" t="inlineStr">
        <is>
          <t>07に記録した全症例</t>
        </is>
      </c>
    </row>
    <row r="5">
      <c r="A5" s="25" t="inlineStr">
        <is>
          <t>延期件数</t>
        </is>
      </c>
      <c r="B5" s="29">
        <f>COUNTIF('07_延期症例'!$G$2:$G$301,"有")</f>
        <v/>
      </c>
      <c r="C5" s="20" t="inlineStr">
        <is>
          <t>ネイルを理由に延期した件数</t>
        </is>
      </c>
    </row>
    <row r="6">
      <c r="A6" s="25" t="inlineStr">
        <is>
          <t>延期率</t>
        </is>
      </c>
      <c r="B6" s="30">
        <f>IFERROR(B5/B4,"")</f>
        <v/>
      </c>
      <c r="C6" s="20" t="inlineStr">
        <is>
          <t>延期件数 ÷ 対象症例数</t>
        </is>
      </c>
    </row>
    <row r="7">
      <c r="A7" s="25" t="inlineStr">
        <is>
          <t>未受検（脱落）件数</t>
        </is>
      </c>
      <c r="B7" s="29">
        <f>COUNTIF('07_延期症例'!$I$2:$I$301,"該当")</f>
        <v/>
      </c>
      <c r="C7" s="20" t="inlineStr">
        <is>
          <t>延期後に再予約されず終わった症例。最重要指標</t>
        </is>
      </c>
    </row>
    <row r="8">
      <c r="A8" s="25" t="inlineStr">
        <is>
          <t>依頼→実施 日数　中央値（全体）</t>
        </is>
      </c>
      <c r="B8" s="31">
        <f>IFERROR(MEDIAN('07_延期症例'!$J$2:$J$301),"")</f>
        <v/>
      </c>
      <c r="C8" s="20" t="inlineStr">
        <is>
          <t>全症例</t>
        </is>
      </c>
    </row>
    <row r="9">
      <c r="A9" s="25" t="inlineStr">
        <is>
          <t xml:space="preserve">　同　中央値（延期例）</t>
        </is>
      </c>
      <c r="B9" s="31">
        <f>IFERROR(MEDIAN('07_延期症例'!$K$2:$K$301),"")</f>
        <v/>
      </c>
      <c r="C9" s="20" t="inlineStr">
        <is>
          <t>延期した症例のみ。発表の主役の数字</t>
        </is>
      </c>
    </row>
    <row r="10">
      <c r="A10" s="25" t="inlineStr">
        <is>
          <t xml:space="preserve">　同　中央値（非延期例）</t>
        </is>
      </c>
      <c r="B10" s="31">
        <f>IFERROR(MEDIAN('07_延期症例'!$L$2:$L$301),"")</f>
        <v/>
      </c>
      <c r="C10" s="20" t="inlineStr">
        <is>
          <t>延期しなかった症例のみ</t>
        </is>
      </c>
    </row>
    <row r="11">
      <c r="A11" s="25" t="inlineStr">
        <is>
          <t>延期による遅れ（差）</t>
        </is>
      </c>
      <c r="B11" s="31">
        <f>IFERROR(IF(OR(B9="",B10=""),"",B9-B10),"")</f>
        <v/>
      </c>
      <c r="C11" s="20" t="inlineStr">
        <is>
          <t>延期例 − 非延期例。これが「診断の遅れ」</t>
        </is>
      </c>
    </row>
    <row r="13">
      <c r="A13" s="3" t="inlineStr">
        <is>
          <t>部位別の内訳</t>
        </is>
      </c>
      <c r="C13" s="20" t="inlineStr">
        <is>
          <t>案Bの距離依存性の結果と突き合わせ、「回避できたはずの遅れ」を出します</t>
        </is>
      </c>
    </row>
    <row r="14">
      <c r="A14" s="32" t="inlineStr">
        <is>
          <t>撮影部位</t>
        </is>
      </c>
      <c r="B14" s="32" t="inlineStr">
        <is>
          <t>延期件数</t>
        </is>
      </c>
      <c r="C14" s="32" t="inlineStr">
        <is>
          <t>構成比</t>
        </is>
      </c>
    </row>
    <row r="15">
      <c r="A15" s="23" t="inlineStr">
        <is>
          <t>頭部</t>
        </is>
      </c>
      <c r="B15" s="28">
        <f>COUNTIFS('07_延期症例'!$E$2:$E$301,$A15,'07_延期症例'!$G$2:$G$301,"有")</f>
        <v/>
      </c>
      <c r="C15" s="33">
        <f>IFERROR(B15/$B$5,"")</f>
        <v/>
      </c>
    </row>
    <row r="16">
      <c r="A16" s="23" t="inlineStr">
        <is>
          <t>体幹部</t>
        </is>
      </c>
      <c r="B16" s="28">
        <f>COUNTIFS('07_延期症例'!$E$2:$E$301,$A16,'07_延期症例'!$G$2:$G$301,"有")</f>
        <v/>
      </c>
      <c r="C16" s="33">
        <f>IFERROR(B16/$B$5,"")</f>
        <v/>
      </c>
    </row>
    <row r="17">
      <c r="A17" s="23" t="inlineStr">
        <is>
          <t>手・手関節</t>
        </is>
      </c>
      <c r="B17" s="28">
        <f>COUNTIFS('07_延期症例'!$E$2:$E$301,$A17,'07_延期症例'!$G$2:$G$301,"有")</f>
        <v/>
      </c>
      <c r="C17" s="33">
        <f>IFERROR(B17/$B$5,"")</f>
        <v/>
      </c>
    </row>
    <row r="18">
      <c r="A18" s="23" t="inlineStr">
        <is>
          <t>四肢（手以外）</t>
        </is>
      </c>
      <c r="B18" s="28">
        <f>COUNTIFS('07_延期症例'!$E$2:$E$301,$A18,'07_延期症例'!$G$2:$G$301,"有")</f>
        <v/>
      </c>
      <c r="C18" s="33">
        <f>IFERROR(B18/$B$5,"")</f>
        <v/>
      </c>
    </row>
    <row r="19">
      <c r="A19" s="23" t="inlineStr">
        <is>
          <t>その他</t>
        </is>
      </c>
      <c r="B19" s="28">
        <f>COUNTIFS('07_延期症例'!$E$2:$E$301,$A19,'07_延期症例'!$G$2:$G$301,"有")</f>
        <v/>
      </c>
      <c r="C19" s="33">
        <f>IFERROR(B19/$B$5,"")</f>
        <v/>
      </c>
    </row>
    <row r="20">
      <c r="A20" s="34" t="inlineStr">
        <is>
          <t>合計</t>
        </is>
      </c>
      <c r="B20" s="35">
        <f>SUM(B15:B19)</f>
        <v/>
      </c>
      <c r="C20" s="36">
        <f>IFERROR(B20/$B$5,"")</f>
        <v/>
      </c>
    </row>
    <row r="22">
      <c r="A22" s="27" t="inlineStr">
        <is>
          <t>頭部・体幹部の延期件数は、案Bで「画像への影響は検出されなかった」と示せた場合、そのまま「回避できたはずの遅れ」として提示できます。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1" customWidth="1" min="4" max="4"/>
    <col width="30" customWidth="1" min="5" max="5"/>
    <col width="13" customWidth="1" min="7" max="7"/>
    <col width="13" customWidth="1" min="8" max="8"/>
    <col width="42" customWidth="1" min="9" max="9"/>
  </cols>
  <sheetData>
    <row r="1">
      <c r="A1" s="21" t="inlineStr">
        <is>
          <t>簡易磁石テストの性能評価（案E-3）</t>
        </is>
      </c>
    </row>
    <row r="2">
      <c r="A2" s="20" t="inlineStr">
        <is>
          <t>「基準判定」は案A・案Bの結果から決めた正解ラベル。磁石テストの結果と突き合わせます。</t>
        </is>
      </c>
    </row>
    <row r="4" ht="32" customHeight="1">
      <c r="A4" s="9" t="inlineStr">
        <is>
          <t>試料ID</t>
        </is>
      </c>
      <c r="B4" s="9" t="inlineStr">
        <is>
          <t>磁石テスト結果</t>
        </is>
      </c>
      <c r="C4" s="9" t="inlineStr">
        <is>
          <t>基準判定</t>
        </is>
      </c>
      <c r="D4" s="9" t="inlineStr">
        <is>
          <t>判定者</t>
        </is>
      </c>
      <c r="E4" s="9" t="inlineStr">
        <is>
          <t>備考</t>
        </is>
      </c>
      <c r="G4" s="3" t="inlineStr">
        <is>
          <t>2×2 表</t>
        </is>
      </c>
    </row>
    <row r="5">
      <c r="A5" s="10" t="inlineStr">
        <is>
          <t>S-01</t>
        </is>
      </c>
      <c r="B5" s="10" t="inlineStr">
        <is>
          <t>陽性</t>
        </is>
      </c>
      <c r="C5" s="10" t="inlineStr">
        <is>
          <t>磁性あり</t>
        </is>
      </c>
      <c r="D5" s="10" t="inlineStr">
        <is>
          <t>山田</t>
        </is>
      </c>
      <c r="E5" s="10" t="inlineStr">
        <is>
          <t>冷蔵庫マグネット・5mm</t>
        </is>
      </c>
      <c r="G5" s="37" t="inlineStr"/>
      <c r="H5" s="32" t="inlineStr">
        <is>
          <t>磁性あり</t>
        </is>
      </c>
      <c r="I5" s="32" t="inlineStr">
        <is>
          <t>磁性なし</t>
        </is>
      </c>
    </row>
    <row r="6">
      <c r="A6" s="13" t="n"/>
      <c r="B6" s="13" t="n"/>
      <c r="C6" s="13" t="n"/>
      <c r="D6" s="13" t="n"/>
      <c r="E6" s="13" t="n"/>
      <c r="G6" s="32" t="inlineStr">
        <is>
          <t>テスト陽性</t>
        </is>
      </c>
      <c r="H6" s="38">
        <f>COUNTIFS($B$5:$B$204,"陽性",$C$5:$C$204,"磁性あり")</f>
        <v/>
      </c>
      <c r="I6" s="38">
        <f>COUNTIFS($B$5:$B$204,"陽性",$C$5:$C$204,"磁性なし")</f>
        <v/>
      </c>
    </row>
    <row r="7">
      <c r="A7" s="13" t="n"/>
      <c r="B7" s="13" t="n"/>
      <c r="C7" s="13" t="n"/>
      <c r="D7" s="13" t="n"/>
      <c r="E7" s="13" t="n"/>
      <c r="G7" s="32" t="inlineStr">
        <is>
          <t>テスト陰性</t>
        </is>
      </c>
      <c r="H7" s="38">
        <f>COUNTIFS($B$5:$B$204,"陰性",$C$5:$C$204,"磁性あり")</f>
        <v/>
      </c>
      <c r="I7" s="38">
        <f>COUNTIFS($B$5:$B$204,"陰性",$C$5:$C$204,"磁性なし")</f>
        <v/>
      </c>
    </row>
    <row r="8">
      <c r="A8" s="13" t="n"/>
      <c r="B8" s="13" t="n"/>
      <c r="C8" s="13" t="n"/>
      <c r="D8" s="13" t="n"/>
      <c r="E8" s="13" t="n"/>
    </row>
    <row r="9">
      <c r="A9" s="13" t="n"/>
      <c r="B9" s="13" t="n"/>
      <c r="C9" s="13" t="n"/>
      <c r="D9" s="13" t="n"/>
      <c r="E9" s="13" t="n"/>
      <c r="G9" s="3" t="inlineStr">
        <is>
          <t>指標</t>
        </is>
      </c>
    </row>
    <row r="10">
      <c r="A10" s="13" t="n"/>
      <c r="B10" s="13" t="n"/>
      <c r="C10" s="13" t="n"/>
      <c r="D10" s="13" t="n"/>
      <c r="E10" s="13" t="n"/>
      <c r="G10" s="25" t="inlineStr">
        <is>
          <t>感度（見逃しの少なさ）</t>
        </is>
      </c>
      <c r="H10" s="30">
        <f>IFERROR(H6/(H6+H7),"")</f>
        <v/>
      </c>
      <c r="I10" s="20" t="inlineStr">
        <is>
          <t>磁性ありを正しく陽性と判定できた割合</t>
        </is>
      </c>
    </row>
    <row r="11">
      <c r="A11" s="13" t="n"/>
      <c r="B11" s="13" t="n"/>
      <c r="C11" s="13" t="n"/>
      <c r="D11" s="13" t="n"/>
      <c r="E11" s="13" t="n"/>
      <c r="G11" s="25" t="inlineStr">
        <is>
          <t>特異度（空振りの少なさ）</t>
        </is>
      </c>
      <c r="H11" s="30">
        <f>IFERROR(I7/(I7+I6),"")</f>
        <v/>
      </c>
      <c r="I11" s="20" t="inlineStr">
        <is>
          <t>磁性なしを正しく陰性と判定できた割合</t>
        </is>
      </c>
    </row>
    <row r="12">
      <c r="A12" s="13" t="n"/>
      <c r="B12" s="13" t="n"/>
      <c r="C12" s="13" t="n"/>
      <c r="D12" s="13" t="n"/>
      <c r="E12" s="13" t="n"/>
      <c r="G12" s="25" t="inlineStr">
        <is>
          <t>陽性的中率（PPV）</t>
        </is>
      </c>
      <c r="H12" s="30">
        <f>IFERROR(H6/(H6+I6),"")</f>
        <v/>
      </c>
      <c r="I12" s="20" t="inlineStr">
        <is>
          <t>陽性と出たもののうち実際に磁性ありの割合</t>
        </is>
      </c>
    </row>
    <row r="13">
      <c r="A13" s="13" t="n"/>
      <c r="B13" s="13" t="n"/>
      <c r="C13" s="13" t="n"/>
      <c r="D13" s="13" t="n"/>
      <c r="E13" s="13" t="n"/>
      <c r="G13" s="25" t="inlineStr">
        <is>
          <t>陰性的中率（NPV）</t>
        </is>
      </c>
      <c r="H13" s="30">
        <f>IFERROR(I7/(I7+H7),"")</f>
        <v/>
      </c>
      <c r="I13" s="20" t="inlineStr">
        <is>
          <t>陰性と出たもののうち実際に磁性なしの割合</t>
        </is>
      </c>
    </row>
    <row r="14">
      <c r="A14" s="13" t="n"/>
      <c r="B14" s="13" t="n"/>
      <c r="C14" s="13" t="n"/>
      <c r="D14" s="13" t="n"/>
      <c r="E14" s="13" t="n"/>
      <c r="G14" s="25" t="inlineStr">
        <is>
          <t>正確度</t>
        </is>
      </c>
      <c r="H14" s="30">
        <f>IFERROR((H6+I7)/(H6+I6+H7+I7),"")</f>
        <v/>
      </c>
      <c r="I14" s="20" t="inlineStr">
        <is>
          <t>全体の一致率</t>
        </is>
      </c>
    </row>
    <row r="15">
      <c r="A15" s="13" t="n"/>
      <c r="B15" s="13" t="n"/>
      <c r="C15" s="13" t="n"/>
      <c r="D15" s="13" t="n"/>
      <c r="E15" s="13" t="n"/>
    </row>
    <row r="16">
      <c r="A16" s="13" t="n"/>
      <c r="B16" s="13" t="n"/>
      <c r="C16" s="13" t="n"/>
      <c r="D16" s="13" t="n"/>
      <c r="E16" s="13" t="n"/>
      <c r="G16" s="27" t="inlineStr">
        <is>
          <t>受付で使うテストなので、重視すべきは感度（磁性ありを見逃さないこと）。</t>
        </is>
      </c>
    </row>
    <row r="17">
      <c r="A17" s="13" t="n"/>
      <c r="B17" s="13" t="n"/>
      <c r="C17" s="13" t="n"/>
      <c r="D17" s="13" t="n"/>
      <c r="E17" s="13" t="n"/>
    </row>
    <row r="18">
      <c r="A18" s="13" t="n"/>
      <c r="B18" s="13" t="n"/>
      <c r="C18" s="13" t="n"/>
      <c r="D18" s="13" t="n"/>
      <c r="E18" s="13" t="n"/>
    </row>
    <row r="19">
      <c r="A19" s="13" t="n"/>
      <c r="B19" s="13" t="n"/>
      <c r="C19" s="13" t="n"/>
      <c r="D19" s="13" t="n"/>
      <c r="E19" s="13" t="n"/>
    </row>
    <row r="20">
      <c r="A20" s="13" t="n"/>
      <c r="B20" s="13" t="n"/>
      <c r="C20" s="13" t="n"/>
      <c r="D20" s="13" t="n"/>
      <c r="E20" s="13" t="n"/>
    </row>
    <row r="21">
      <c r="A21" s="13" t="n"/>
      <c r="B21" s="13" t="n"/>
      <c r="C21" s="13" t="n"/>
      <c r="D21" s="13" t="n"/>
      <c r="E21" s="13" t="n"/>
    </row>
    <row r="22">
      <c r="A22" s="13" t="n"/>
      <c r="B22" s="13" t="n"/>
      <c r="C22" s="13" t="n"/>
      <c r="D22" s="13" t="n"/>
      <c r="E22" s="13" t="n"/>
    </row>
    <row r="23">
      <c r="A23" s="13" t="n"/>
      <c r="B23" s="13" t="n"/>
      <c r="C23" s="13" t="n"/>
      <c r="D23" s="13" t="n"/>
      <c r="E23" s="13" t="n"/>
    </row>
    <row r="24">
      <c r="A24" s="13" t="n"/>
      <c r="B24" s="13" t="n"/>
      <c r="C24" s="13" t="n"/>
      <c r="D24" s="13" t="n"/>
      <c r="E24" s="13" t="n"/>
    </row>
    <row r="25">
      <c r="A25" s="13" t="n"/>
      <c r="B25" s="13" t="n"/>
      <c r="C25" s="13" t="n"/>
      <c r="D25" s="13" t="n"/>
      <c r="E25" s="13" t="n"/>
    </row>
    <row r="26">
      <c r="A26" s="13" t="n"/>
      <c r="B26" s="13" t="n"/>
      <c r="C26" s="13" t="n"/>
      <c r="D26" s="13" t="n"/>
      <c r="E26" s="13" t="n"/>
    </row>
    <row r="27">
      <c r="A27" s="13" t="n"/>
      <c r="B27" s="13" t="n"/>
      <c r="C27" s="13" t="n"/>
      <c r="D27" s="13" t="n"/>
      <c r="E27" s="13" t="n"/>
    </row>
    <row r="28">
      <c r="A28" s="13" t="n"/>
      <c r="B28" s="13" t="n"/>
      <c r="C28" s="13" t="n"/>
      <c r="D28" s="13" t="n"/>
      <c r="E28" s="13" t="n"/>
    </row>
    <row r="29">
      <c r="A29" s="13" t="n"/>
      <c r="B29" s="13" t="n"/>
      <c r="C29" s="13" t="n"/>
      <c r="D29" s="13" t="n"/>
      <c r="E29" s="13" t="n"/>
    </row>
    <row r="30">
      <c r="A30" s="13" t="n"/>
      <c r="B30" s="13" t="n"/>
      <c r="C30" s="13" t="n"/>
      <c r="D30" s="13" t="n"/>
      <c r="E30" s="13" t="n"/>
    </row>
    <row r="31">
      <c r="A31" s="13" t="n"/>
      <c r="B31" s="13" t="n"/>
      <c r="C31" s="13" t="n"/>
      <c r="D31" s="13" t="n"/>
      <c r="E31" s="13" t="n"/>
    </row>
    <row r="32">
      <c r="A32" s="13" t="n"/>
      <c r="B32" s="13" t="n"/>
      <c r="C32" s="13" t="n"/>
      <c r="D32" s="13" t="n"/>
      <c r="E32" s="13" t="n"/>
    </row>
    <row r="33">
      <c r="A33" s="13" t="n"/>
      <c r="B33" s="13" t="n"/>
      <c r="C33" s="13" t="n"/>
      <c r="D33" s="13" t="n"/>
      <c r="E33" s="13" t="n"/>
    </row>
    <row r="34">
      <c r="A34" s="13" t="n"/>
      <c r="B34" s="13" t="n"/>
      <c r="C34" s="13" t="n"/>
      <c r="D34" s="13" t="n"/>
      <c r="E34" s="13" t="n"/>
    </row>
    <row r="35">
      <c r="A35" s="13" t="n"/>
      <c r="B35" s="13" t="n"/>
      <c r="C35" s="13" t="n"/>
      <c r="D35" s="13" t="n"/>
      <c r="E35" s="13" t="n"/>
    </row>
    <row r="36">
      <c r="A36" s="13" t="n"/>
      <c r="B36" s="13" t="n"/>
      <c r="C36" s="13" t="n"/>
      <c r="D36" s="13" t="n"/>
      <c r="E36" s="13" t="n"/>
    </row>
    <row r="37">
      <c r="A37" s="13" t="n"/>
      <c r="B37" s="13" t="n"/>
      <c r="C37" s="13" t="n"/>
      <c r="D37" s="13" t="n"/>
      <c r="E37" s="13" t="n"/>
    </row>
    <row r="38">
      <c r="A38" s="13" t="n"/>
      <c r="B38" s="13" t="n"/>
      <c r="C38" s="13" t="n"/>
      <c r="D38" s="13" t="n"/>
      <c r="E38" s="13" t="n"/>
    </row>
    <row r="39">
      <c r="A39" s="13" t="n"/>
      <c r="B39" s="13" t="n"/>
      <c r="C39" s="13" t="n"/>
      <c r="D39" s="13" t="n"/>
      <c r="E39" s="13" t="n"/>
    </row>
    <row r="40">
      <c r="A40" s="13" t="n"/>
      <c r="B40" s="13" t="n"/>
      <c r="C40" s="13" t="n"/>
      <c r="D40" s="13" t="n"/>
      <c r="E40" s="13" t="n"/>
    </row>
    <row r="41">
      <c r="A41" s="13" t="n"/>
      <c r="B41" s="13" t="n"/>
      <c r="C41" s="13" t="n"/>
      <c r="D41" s="13" t="n"/>
      <c r="E41" s="13" t="n"/>
    </row>
    <row r="42">
      <c r="A42" s="13" t="n"/>
      <c r="B42" s="13" t="n"/>
      <c r="C42" s="13" t="n"/>
      <c r="D42" s="13" t="n"/>
      <c r="E42" s="13" t="n"/>
    </row>
    <row r="43">
      <c r="A43" s="13" t="n"/>
      <c r="B43" s="13" t="n"/>
      <c r="C43" s="13" t="n"/>
      <c r="D43" s="13" t="n"/>
      <c r="E43" s="13" t="n"/>
    </row>
    <row r="44">
      <c r="A44" s="13" t="n"/>
      <c r="B44" s="13" t="n"/>
      <c r="C44" s="13" t="n"/>
      <c r="D44" s="13" t="n"/>
      <c r="E44" s="13" t="n"/>
    </row>
    <row r="45">
      <c r="A45" s="13" t="n"/>
      <c r="B45" s="13" t="n"/>
      <c r="C45" s="13" t="n"/>
      <c r="D45" s="13" t="n"/>
      <c r="E45" s="13" t="n"/>
    </row>
    <row r="46">
      <c r="A46" s="13" t="n"/>
      <c r="B46" s="13" t="n"/>
      <c r="C46" s="13" t="n"/>
      <c r="D46" s="13" t="n"/>
      <c r="E46" s="13" t="n"/>
    </row>
    <row r="47">
      <c r="A47" s="13" t="n"/>
      <c r="B47" s="13" t="n"/>
      <c r="C47" s="13" t="n"/>
      <c r="D47" s="13" t="n"/>
      <c r="E47" s="13" t="n"/>
    </row>
    <row r="48">
      <c r="A48" s="13" t="n"/>
      <c r="B48" s="13" t="n"/>
      <c r="C48" s="13" t="n"/>
      <c r="D48" s="13" t="n"/>
      <c r="E48" s="13" t="n"/>
    </row>
    <row r="49">
      <c r="A49" s="13" t="n"/>
      <c r="B49" s="13" t="n"/>
      <c r="C49" s="13" t="n"/>
      <c r="D49" s="13" t="n"/>
      <c r="E49" s="13" t="n"/>
    </row>
    <row r="50">
      <c r="A50" s="13" t="n"/>
      <c r="B50" s="13" t="n"/>
      <c r="C50" s="13" t="n"/>
      <c r="D50" s="13" t="n"/>
      <c r="E50" s="13" t="n"/>
    </row>
    <row r="51">
      <c r="A51" s="13" t="n"/>
      <c r="B51" s="13" t="n"/>
      <c r="C51" s="13" t="n"/>
      <c r="D51" s="13" t="n"/>
      <c r="E51" s="13" t="n"/>
    </row>
    <row r="52">
      <c r="A52" s="13" t="n"/>
      <c r="B52" s="13" t="n"/>
      <c r="C52" s="13" t="n"/>
      <c r="D52" s="13" t="n"/>
      <c r="E52" s="13" t="n"/>
    </row>
    <row r="53">
      <c r="A53" s="13" t="n"/>
      <c r="B53" s="13" t="n"/>
      <c r="C53" s="13" t="n"/>
      <c r="D53" s="13" t="n"/>
      <c r="E53" s="13" t="n"/>
    </row>
    <row r="54">
      <c r="A54" s="13" t="n"/>
      <c r="B54" s="13" t="n"/>
      <c r="C54" s="13" t="n"/>
      <c r="D54" s="13" t="n"/>
      <c r="E54" s="13" t="n"/>
    </row>
    <row r="55">
      <c r="A55" s="13" t="n"/>
      <c r="B55" s="13" t="n"/>
      <c r="C55" s="13" t="n"/>
      <c r="D55" s="13" t="n"/>
      <c r="E55" s="13" t="n"/>
    </row>
    <row r="56">
      <c r="A56" s="13" t="n"/>
      <c r="B56" s="13" t="n"/>
      <c r="C56" s="13" t="n"/>
      <c r="D56" s="13" t="n"/>
      <c r="E56" s="13" t="n"/>
    </row>
    <row r="57">
      <c r="A57" s="13" t="n"/>
      <c r="B57" s="13" t="n"/>
      <c r="C57" s="13" t="n"/>
      <c r="D57" s="13" t="n"/>
      <c r="E57" s="13" t="n"/>
    </row>
    <row r="58">
      <c r="A58" s="13" t="n"/>
      <c r="B58" s="13" t="n"/>
      <c r="C58" s="13" t="n"/>
      <c r="D58" s="13" t="n"/>
      <c r="E58" s="13" t="n"/>
    </row>
    <row r="59">
      <c r="A59" s="13" t="n"/>
      <c r="B59" s="13" t="n"/>
      <c r="C59" s="13" t="n"/>
      <c r="D59" s="13" t="n"/>
      <c r="E59" s="13" t="n"/>
    </row>
    <row r="60">
      <c r="A60" s="13" t="n"/>
      <c r="B60" s="13" t="n"/>
      <c r="C60" s="13" t="n"/>
      <c r="D60" s="13" t="n"/>
      <c r="E60" s="13" t="n"/>
    </row>
    <row r="61">
      <c r="A61" s="13" t="n"/>
      <c r="B61" s="13" t="n"/>
      <c r="C61" s="13" t="n"/>
      <c r="D61" s="13" t="n"/>
      <c r="E61" s="13" t="n"/>
    </row>
    <row r="62">
      <c r="A62" s="13" t="n"/>
      <c r="B62" s="13" t="n"/>
      <c r="C62" s="13" t="n"/>
      <c r="D62" s="13" t="n"/>
      <c r="E62" s="13" t="n"/>
    </row>
    <row r="63">
      <c r="A63" s="13" t="n"/>
      <c r="B63" s="13" t="n"/>
      <c r="C63" s="13" t="n"/>
      <c r="D63" s="13" t="n"/>
      <c r="E63" s="13" t="n"/>
    </row>
    <row r="64">
      <c r="A64" s="13" t="n"/>
      <c r="B64" s="13" t="n"/>
      <c r="C64" s="13" t="n"/>
      <c r="D64" s="13" t="n"/>
      <c r="E64" s="13" t="n"/>
    </row>
    <row r="65">
      <c r="A65" s="13" t="n"/>
      <c r="B65" s="13" t="n"/>
      <c r="C65" s="13" t="n"/>
      <c r="D65" s="13" t="n"/>
      <c r="E65" s="13" t="n"/>
    </row>
    <row r="66">
      <c r="A66" s="13" t="n"/>
      <c r="B66" s="13" t="n"/>
      <c r="C66" s="13" t="n"/>
      <c r="D66" s="13" t="n"/>
      <c r="E66" s="13" t="n"/>
    </row>
    <row r="67">
      <c r="A67" s="13" t="n"/>
      <c r="B67" s="13" t="n"/>
      <c r="C67" s="13" t="n"/>
      <c r="D67" s="13" t="n"/>
      <c r="E67" s="13" t="n"/>
    </row>
    <row r="68">
      <c r="A68" s="13" t="n"/>
      <c r="B68" s="13" t="n"/>
      <c r="C68" s="13" t="n"/>
      <c r="D68" s="13" t="n"/>
      <c r="E68" s="13" t="n"/>
    </row>
    <row r="69">
      <c r="A69" s="13" t="n"/>
      <c r="B69" s="13" t="n"/>
      <c r="C69" s="13" t="n"/>
      <c r="D69" s="13" t="n"/>
      <c r="E69" s="13" t="n"/>
    </row>
    <row r="70">
      <c r="A70" s="13" t="n"/>
      <c r="B70" s="13" t="n"/>
      <c r="C70" s="13" t="n"/>
      <c r="D70" s="13" t="n"/>
      <c r="E70" s="13" t="n"/>
    </row>
    <row r="71">
      <c r="A71" s="13" t="n"/>
      <c r="B71" s="13" t="n"/>
      <c r="C71" s="13" t="n"/>
      <c r="D71" s="13" t="n"/>
      <c r="E71" s="13" t="n"/>
    </row>
    <row r="72">
      <c r="A72" s="13" t="n"/>
      <c r="B72" s="13" t="n"/>
      <c r="C72" s="13" t="n"/>
      <c r="D72" s="13" t="n"/>
      <c r="E72" s="13" t="n"/>
    </row>
    <row r="73">
      <c r="A73" s="13" t="n"/>
      <c r="B73" s="13" t="n"/>
      <c r="C73" s="13" t="n"/>
      <c r="D73" s="13" t="n"/>
      <c r="E73" s="13" t="n"/>
    </row>
    <row r="74">
      <c r="A74" s="13" t="n"/>
      <c r="B74" s="13" t="n"/>
      <c r="C74" s="13" t="n"/>
      <c r="D74" s="13" t="n"/>
      <c r="E74" s="13" t="n"/>
    </row>
    <row r="75">
      <c r="A75" s="13" t="n"/>
      <c r="B75" s="13" t="n"/>
      <c r="C75" s="13" t="n"/>
      <c r="D75" s="13" t="n"/>
      <c r="E75" s="13" t="n"/>
    </row>
    <row r="76">
      <c r="A76" s="13" t="n"/>
      <c r="B76" s="13" t="n"/>
      <c r="C76" s="13" t="n"/>
      <c r="D76" s="13" t="n"/>
      <c r="E76" s="13" t="n"/>
    </row>
    <row r="77">
      <c r="A77" s="13" t="n"/>
      <c r="B77" s="13" t="n"/>
      <c r="C77" s="13" t="n"/>
      <c r="D77" s="13" t="n"/>
      <c r="E77" s="13" t="n"/>
    </row>
    <row r="78">
      <c r="A78" s="13" t="n"/>
      <c r="B78" s="13" t="n"/>
      <c r="C78" s="13" t="n"/>
      <c r="D78" s="13" t="n"/>
      <c r="E78" s="13" t="n"/>
    </row>
    <row r="79">
      <c r="A79" s="13" t="n"/>
      <c r="B79" s="13" t="n"/>
      <c r="C79" s="13" t="n"/>
      <c r="D79" s="13" t="n"/>
      <c r="E79" s="13" t="n"/>
    </row>
    <row r="80">
      <c r="A80" s="13" t="n"/>
      <c r="B80" s="13" t="n"/>
      <c r="C80" s="13" t="n"/>
      <c r="D80" s="13" t="n"/>
      <c r="E80" s="13" t="n"/>
    </row>
    <row r="81">
      <c r="A81" s="13" t="n"/>
      <c r="B81" s="13" t="n"/>
      <c r="C81" s="13" t="n"/>
      <c r="D81" s="13" t="n"/>
      <c r="E81" s="13" t="n"/>
    </row>
    <row r="82">
      <c r="A82" s="13" t="n"/>
      <c r="B82" s="13" t="n"/>
      <c r="C82" s="13" t="n"/>
      <c r="D82" s="13" t="n"/>
      <c r="E82" s="13" t="n"/>
    </row>
    <row r="83">
      <c r="A83" s="13" t="n"/>
      <c r="B83" s="13" t="n"/>
      <c r="C83" s="13" t="n"/>
      <c r="D83" s="13" t="n"/>
      <c r="E83" s="13" t="n"/>
    </row>
    <row r="84">
      <c r="A84" s="13" t="n"/>
      <c r="B84" s="13" t="n"/>
      <c r="C84" s="13" t="n"/>
      <c r="D84" s="13" t="n"/>
      <c r="E84" s="13" t="n"/>
    </row>
    <row r="85">
      <c r="A85" s="13" t="n"/>
      <c r="B85" s="13" t="n"/>
      <c r="C85" s="13" t="n"/>
      <c r="D85" s="13" t="n"/>
      <c r="E85" s="13" t="n"/>
    </row>
    <row r="86">
      <c r="A86" s="13" t="n"/>
      <c r="B86" s="13" t="n"/>
      <c r="C86" s="13" t="n"/>
      <c r="D86" s="13" t="n"/>
      <c r="E86" s="13" t="n"/>
    </row>
    <row r="87">
      <c r="A87" s="13" t="n"/>
      <c r="B87" s="13" t="n"/>
      <c r="C87" s="13" t="n"/>
      <c r="D87" s="13" t="n"/>
      <c r="E87" s="13" t="n"/>
    </row>
    <row r="88">
      <c r="A88" s="13" t="n"/>
      <c r="B88" s="13" t="n"/>
      <c r="C88" s="13" t="n"/>
      <c r="D88" s="13" t="n"/>
      <c r="E88" s="13" t="n"/>
    </row>
    <row r="89">
      <c r="A89" s="13" t="n"/>
      <c r="B89" s="13" t="n"/>
      <c r="C89" s="13" t="n"/>
      <c r="D89" s="13" t="n"/>
      <c r="E89" s="13" t="n"/>
    </row>
    <row r="90">
      <c r="A90" s="13" t="n"/>
      <c r="B90" s="13" t="n"/>
      <c r="C90" s="13" t="n"/>
      <c r="D90" s="13" t="n"/>
      <c r="E90" s="13" t="n"/>
    </row>
    <row r="91">
      <c r="A91" s="13" t="n"/>
      <c r="B91" s="13" t="n"/>
      <c r="C91" s="13" t="n"/>
      <c r="D91" s="13" t="n"/>
      <c r="E91" s="13" t="n"/>
    </row>
    <row r="92">
      <c r="A92" s="13" t="n"/>
      <c r="B92" s="13" t="n"/>
      <c r="C92" s="13" t="n"/>
      <c r="D92" s="13" t="n"/>
      <c r="E92" s="13" t="n"/>
    </row>
    <row r="93">
      <c r="A93" s="13" t="n"/>
      <c r="B93" s="13" t="n"/>
      <c r="C93" s="13" t="n"/>
      <c r="D93" s="13" t="n"/>
      <c r="E93" s="13" t="n"/>
    </row>
    <row r="94">
      <c r="A94" s="13" t="n"/>
      <c r="B94" s="13" t="n"/>
      <c r="C94" s="13" t="n"/>
      <c r="D94" s="13" t="n"/>
      <c r="E94" s="13" t="n"/>
    </row>
    <row r="95">
      <c r="A95" s="13" t="n"/>
      <c r="B95" s="13" t="n"/>
      <c r="C95" s="13" t="n"/>
      <c r="D95" s="13" t="n"/>
      <c r="E95" s="13" t="n"/>
    </row>
    <row r="96">
      <c r="A96" s="13" t="n"/>
      <c r="B96" s="13" t="n"/>
      <c r="C96" s="13" t="n"/>
      <c r="D96" s="13" t="n"/>
      <c r="E96" s="13" t="n"/>
    </row>
    <row r="97">
      <c r="A97" s="13" t="n"/>
      <c r="B97" s="13" t="n"/>
      <c r="C97" s="13" t="n"/>
      <c r="D97" s="13" t="n"/>
      <c r="E97" s="13" t="n"/>
    </row>
    <row r="98">
      <c r="A98" s="13" t="n"/>
      <c r="B98" s="13" t="n"/>
      <c r="C98" s="13" t="n"/>
      <c r="D98" s="13" t="n"/>
      <c r="E98" s="13" t="n"/>
    </row>
    <row r="99">
      <c r="A99" s="13" t="n"/>
      <c r="B99" s="13" t="n"/>
      <c r="C99" s="13" t="n"/>
      <c r="D99" s="13" t="n"/>
      <c r="E99" s="13" t="n"/>
    </row>
    <row r="100">
      <c r="A100" s="13" t="n"/>
      <c r="B100" s="13" t="n"/>
      <c r="C100" s="13" t="n"/>
      <c r="D100" s="13" t="n"/>
      <c r="E100" s="13" t="n"/>
    </row>
    <row r="101">
      <c r="A101" s="13" t="n"/>
      <c r="B101" s="13" t="n"/>
      <c r="C101" s="13" t="n"/>
      <c r="D101" s="13" t="n"/>
      <c r="E101" s="13" t="n"/>
    </row>
    <row r="102">
      <c r="A102" s="13" t="n"/>
      <c r="B102" s="13" t="n"/>
      <c r="C102" s="13" t="n"/>
      <c r="D102" s="13" t="n"/>
      <c r="E102" s="13" t="n"/>
    </row>
    <row r="103">
      <c r="A103" s="13" t="n"/>
      <c r="B103" s="13" t="n"/>
      <c r="C103" s="13" t="n"/>
      <c r="D103" s="13" t="n"/>
      <c r="E103" s="13" t="n"/>
    </row>
    <row r="104">
      <c r="A104" s="13" t="n"/>
      <c r="B104" s="13" t="n"/>
      <c r="C104" s="13" t="n"/>
      <c r="D104" s="13" t="n"/>
      <c r="E104" s="13" t="n"/>
    </row>
    <row r="105">
      <c r="A105" s="13" t="n"/>
      <c r="B105" s="13" t="n"/>
      <c r="C105" s="13" t="n"/>
      <c r="D105" s="13" t="n"/>
      <c r="E105" s="13" t="n"/>
    </row>
    <row r="106">
      <c r="A106" s="13" t="n"/>
      <c r="B106" s="13" t="n"/>
      <c r="C106" s="13" t="n"/>
      <c r="D106" s="13" t="n"/>
      <c r="E106" s="13" t="n"/>
    </row>
    <row r="107">
      <c r="A107" s="13" t="n"/>
      <c r="B107" s="13" t="n"/>
      <c r="C107" s="13" t="n"/>
      <c r="D107" s="13" t="n"/>
      <c r="E107" s="13" t="n"/>
    </row>
    <row r="108">
      <c r="A108" s="13" t="n"/>
      <c r="B108" s="13" t="n"/>
      <c r="C108" s="13" t="n"/>
      <c r="D108" s="13" t="n"/>
      <c r="E108" s="13" t="n"/>
    </row>
    <row r="109">
      <c r="A109" s="13" t="n"/>
      <c r="B109" s="13" t="n"/>
      <c r="C109" s="13" t="n"/>
      <c r="D109" s="13" t="n"/>
      <c r="E109" s="13" t="n"/>
    </row>
    <row r="110">
      <c r="A110" s="13" t="n"/>
      <c r="B110" s="13" t="n"/>
      <c r="C110" s="13" t="n"/>
      <c r="D110" s="13" t="n"/>
      <c r="E110" s="13" t="n"/>
    </row>
    <row r="111">
      <c r="A111" s="13" t="n"/>
      <c r="B111" s="13" t="n"/>
      <c r="C111" s="13" t="n"/>
      <c r="D111" s="13" t="n"/>
      <c r="E111" s="13" t="n"/>
    </row>
    <row r="112">
      <c r="A112" s="13" t="n"/>
      <c r="B112" s="13" t="n"/>
      <c r="C112" s="13" t="n"/>
      <c r="D112" s="13" t="n"/>
      <c r="E112" s="13" t="n"/>
    </row>
    <row r="113">
      <c r="A113" s="13" t="n"/>
      <c r="B113" s="13" t="n"/>
      <c r="C113" s="13" t="n"/>
      <c r="D113" s="13" t="n"/>
      <c r="E113" s="13" t="n"/>
    </row>
    <row r="114">
      <c r="A114" s="13" t="n"/>
      <c r="B114" s="13" t="n"/>
      <c r="C114" s="13" t="n"/>
      <c r="D114" s="13" t="n"/>
      <c r="E114" s="13" t="n"/>
    </row>
    <row r="115">
      <c r="A115" s="13" t="n"/>
      <c r="B115" s="13" t="n"/>
      <c r="C115" s="13" t="n"/>
      <c r="D115" s="13" t="n"/>
      <c r="E115" s="13" t="n"/>
    </row>
    <row r="116">
      <c r="A116" s="13" t="n"/>
      <c r="B116" s="13" t="n"/>
      <c r="C116" s="13" t="n"/>
      <c r="D116" s="13" t="n"/>
      <c r="E116" s="13" t="n"/>
    </row>
    <row r="117">
      <c r="A117" s="13" t="n"/>
      <c r="B117" s="13" t="n"/>
      <c r="C117" s="13" t="n"/>
      <c r="D117" s="13" t="n"/>
      <c r="E117" s="13" t="n"/>
    </row>
    <row r="118">
      <c r="A118" s="13" t="n"/>
      <c r="B118" s="13" t="n"/>
      <c r="C118" s="13" t="n"/>
      <c r="D118" s="13" t="n"/>
      <c r="E118" s="13" t="n"/>
    </row>
    <row r="119">
      <c r="A119" s="13" t="n"/>
      <c r="B119" s="13" t="n"/>
      <c r="C119" s="13" t="n"/>
      <c r="D119" s="13" t="n"/>
      <c r="E119" s="13" t="n"/>
    </row>
    <row r="120">
      <c r="A120" s="13" t="n"/>
      <c r="B120" s="13" t="n"/>
      <c r="C120" s="13" t="n"/>
      <c r="D120" s="13" t="n"/>
      <c r="E120" s="13" t="n"/>
    </row>
    <row r="121">
      <c r="A121" s="13" t="n"/>
      <c r="B121" s="13" t="n"/>
      <c r="C121" s="13" t="n"/>
      <c r="D121" s="13" t="n"/>
      <c r="E121" s="13" t="n"/>
    </row>
    <row r="122">
      <c r="A122" s="13" t="n"/>
      <c r="B122" s="13" t="n"/>
      <c r="C122" s="13" t="n"/>
      <c r="D122" s="13" t="n"/>
      <c r="E122" s="13" t="n"/>
    </row>
    <row r="123">
      <c r="A123" s="13" t="n"/>
      <c r="B123" s="13" t="n"/>
      <c r="C123" s="13" t="n"/>
      <c r="D123" s="13" t="n"/>
      <c r="E123" s="13" t="n"/>
    </row>
    <row r="124">
      <c r="A124" s="13" t="n"/>
      <c r="B124" s="13" t="n"/>
      <c r="C124" s="13" t="n"/>
      <c r="D124" s="13" t="n"/>
      <c r="E124" s="13" t="n"/>
    </row>
    <row r="125">
      <c r="A125" s="13" t="n"/>
      <c r="B125" s="13" t="n"/>
      <c r="C125" s="13" t="n"/>
      <c r="D125" s="13" t="n"/>
      <c r="E125" s="13" t="n"/>
    </row>
    <row r="126">
      <c r="A126" s="13" t="n"/>
      <c r="B126" s="13" t="n"/>
      <c r="C126" s="13" t="n"/>
      <c r="D126" s="13" t="n"/>
      <c r="E126" s="13" t="n"/>
    </row>
    <row r="127">
      <c r="A127" s="13" t="n"/>
      <c r="B127" s="13" t="n"/>
      <c r="C127" s="13" t="n"/>
      <c r="D127" s="13" t="n"/>
      <c r="E127" s="13" t="n"/>
    </row>
    <row r="128">
      <c r="A128" s="13" t="n"/>
      <c r="B128" s="13" t="n"/>
      <c r="C128" s="13" t="n"/>
      <c r="D128" s="13" t="n"/>
      <c r="E128" s="13" t="n"/>
    </row>
    <row r="129">
      <c r="A129" s="13" t="n"/>
      <c r="B129" s="13" t="n"/>
      <c r="C129" s="13" t="n"/>
      <c r="D129" s="13" t="n"/>
      <c r="E129" s="13" t="n"/>
    </row>
    <row r="130">
      <c r="A130" s="13" t="n"/>
      <c r="B130" s="13" t="n"/>
      <c r="C130" s="13" t="n"/>
      <c r="D130" s="13" t="n"/>
      <c r="E130" s="13" t="n"/>
    </row>
    <row r="131">
      <c r="A131" s="13" t="n"/>
      <c r="B131" s="13" t="n"/>
      <c r="C131" s="13" t="n"/>
      <c r="D131" s="13" t="n"/>
      <c r="E131" s="13" t="n"/>
    </row>
    <row r="132">
      <c r="A132" s="13" t="n"/>
      <c r="B132" s="13" t="n"/>
      <c r="C132" s="13" t="n"/>
      <c r="D132" s="13" t="n"/>
      <c r="E132" s="13" t="n"/>
    </row>
    <row r="133">
      <c r="A133" s="13" t="n"/>
      <c r="B133" s="13" t="n"/>
      <c r="C133" s="13" t="n"/>
      <c r="D133" s="13" t="n"/>
      <c r="E133" s="13" t="n"/>
    </row>
    <row r="134">
      <c r="A134" s="13" t="n"/>
      <c r="B134" s="13" t="n"/>
      <c r="C134" s="13" t="n"/>
      <c r="D134" s="13" t="n"/>
      <c r="E134" s="13" t="n"/>
    </row>
    <row r="135">
      <c r="A135" s="13" t="n"/>
      <c r="B135" s="13" t="n"/>
      <c r="C135" s="13" t="n"/>
      <c r="D135" s="13" t="n"/>
      <c r="E135" s="13" t="n"/>
    </row>
    <row r="136">
      <c r="A136" s="13" t="n"/>
      <c r="B136" s="13" t="n"/>
      <c r="C136" s="13" t="n"/>
      <c r="D136" s="13" t="n"/>
      <c r="E136" s="13" t="n"/>
    </row>
    <row r="137">
      <c r="A137" s="13" t="n"/>
      <c r="B137" s="13" t="n"/>
      <c r="C137" s="13" t="n"/>
      <c r="D137" s="13" t="n"/>
      <c r="E137" s="13" t="n"/>
    </row>
    <row r="138">
      <c r="A138" s="13" t="n"/>
      <c r="B138" s="13" t="n"/>
      <c r="C138" s="13" t="n"/>
      <c r="D138" s="13" t="n"/>
      <c r="E138" s="13" t="n"/>
    </row>
    <row r="139">
      <c r="A139" s="13" t="n"/>
      <c r="B139" s="13" t="n"/>
      <c r="C139" s="13" t="n"/>
      <c r="D139" s="13" t="n"/>
      <c r="E139" s="13" t="n"/>
    </row>
    <row r="140">
      <c r="A140" s="13" t="n"/>
      <c r="B140" s="13" t="n"/>
      <c r="C140" s="13" t="n"/>
      <c r="D140" s="13" t="n"/>
      <c r="E140" s="13" t="n"/>
    </row>
    <row r="141">
      <c r="A141" s="13" t="n"/>
      <c r="B141" s="13" t="n"/>
      <c r="C141" s="13" t="n"/>
      <c r="D141" s="13" t="n"/>
      <c r="E141" s="13" t="n"/>
    </row>
    <row r="142">
      <c r="A142" s="13" t="n"/>
      <c r="B142" s="13" t="n"/>
      <c r="C142" s="13" t="n"/>
      <c r="D142" s="13" t="n"/>
      <c r="E142" s="13" t="n"/>
    </row>
    <row r="143">
      <c r="A143" s="13" t="n"/>
      <c r="B143" s="13" t="n"/>
      <c r="C143" s="13" t="n"/>
      <c r="D143" s="13" t="n"/>
      <c r="E143" s="13" t="n"/>
    </row>
    <row r="144">
      <c r="A144" s="13" t="n"/>
      <c r="B144" s="13" t="n"/>
      <c r="C144" s="13" t="n"/>
      <c r="D144" s="13" t="n"/>
      <c r="E144" s="13" t="n"/>
    </row>
    <row r="145">
      <c r="A145" s="13" t="n"/>
      <c r="B145" s="13" t="n"/>
      <c r="C145" s="13" t="n"/>
      <c r="D145" s="13" t="n"/>
      <c r="E145" s="13" t="n"/>
    </row>
    <row r="146">
      <c r="A146" s="13" t="n"/>
      <c r="B146" s="13" t="n"/>
      <c r="C146" s="13" t="n"/>
      <c r="D146" s="13" t="n"/>
      <c r="E146" s="13" t="n"/>
    </row>
    <row r="147">
      <c r="A147" s="13" t="n"/>
      <c r="B147" s="13" t="n"/>
      <c r="C147" s="13" t="n"/>
      <c r="D147" s="13" t="n"/>
      <c r="E147" s="13" t="n"/>
    </row>
    <row r="148">
      <c r="A148" s="13" t="n"/>
      <c r="B148" s="13" t="n"/>
      <c r="C148" s="13" t="n"/>
      <c r="D148" s="13" t="n"/>
      <c r="E148" s="13" t="n"/>
    </row>
    <row r="149">
      <c r="A149" s="13" t="n"/>
      <c r="B149" s="13" t="n"/>
      <c r="C149" s="13" t="n"/>
      <c r="D149" s="13" t="n"/>
      <c r="E149" s="13" t="n"/>
    </row>
    <row r="150">
      <c r="A150" s="13" t="n"/>
      <c r="B150" s="13" t="n"/>
      <c r="C150" s="13" t="n"/>
      <c r="D150" s="13" t="n"/>
      <c r="E150" s="13" t="n"/>
    </row>
    <row r="151">
      <c r="A151" s="13" t="n"/>
      <c r="B151" s="13" t="n"/>
      <c r="C151" s="13" t="n"/>
      <c r="D151" s="13" t="n"/>
      <c r="E151" s="13" t="n"/>
    </row>
    <row r="152">
      <c r="A152" s="13" t="n"/>
      <c r="B152" s="13" t="n"/>
      <c r="C152" s="13" t="n"/>
      <c r="D152" s="13" t="n"/>
      <c r="E152" s="13" t="n"/>
    </row>
    <row r="153">
      <c r="A153" s="13" t="n"/>
      <c r="B153" s="13" t="n"/>
      <c r="C153" s="13" t="n"/>
      <c r="D153" s="13" t="n"/>
      <c r="E153" s="13" t="n"/>
    </row>
    <row r="154">
      <c r="A154" s="13" t="n"/>
      <c r="B154" s="13" t="n"/>
      <c r="C154" s="13" t="n"/>
      <c r="D154" s="13" t="n"/>
      <c r="E154" s="13" t="n"/>
    </row>
    <row r="155">
      <c r="A155" s="13" t="n"/>
      <c r="B155" s="13" t="n"/>
      <c r="C155" s="13" t="n"/>
      <c r="D155" s="13" t="n"/>
      <c r="E155" s="13" t="n"/>
    </row>
    <row r="156">
      <c r="A156" s="13" t="n"/>
      <c r="B156" s="13" t="n"/>
      <c r="C156" s="13" t="n"/>
      <c r="D156" s="13" t="n"/>
      <c r="E156" s="13" t="n"/>
    </row>
    <row r="157">
      <c r="A157" s="13" t="n"/>
      <c r="B157" s="13" t="n"/>
      <c r="C157" s="13" t="n"/>
      <c r="D157" s="13" t="n"/>
      <c r="E157" s="13" t="n"/>
    </row>
    <row r="158">
      <c r="A158" s="13" t="n"/>
      <c r="B158" s="13" t="n"/>
      <c r="C158" s="13" t="n"/>
      <c r="D158" s="13" t="n"/>
      <c r="E158" s="13" t="n"/>
    </row>
    <row r="159">
      <c r="A159" s="13" t="n"/>
      <c r="B159" s="13" t="n"/>
      <c r="C159" s="13" t="n"/>
      <c r="D159" s="13" t="n"/>
      <c r="E159" s="13" t="n"/>
    </row>
    <row r="160">
      <c r="A160" s="13" t="n"/>
      <c r="B160" s="13" t="n"/>
      <c r="C160" s="13" t="n"/>
      <c r="D160" s="13" t="n"/>
      <c r="E160" s="13" t="n"/>
    </row>
    <row r="161">
      <c r="A161" s="13" t="n"/>
      <c r="B161" s="13" t="n"/>
      <c r="C161" s="13" t="n"/>
      <c r="D161" s="13" t="n"/>
      <c r="E161" s="13" t="n"/>
    </row>
    <row r="162">
      <c r="A162" s="13" t="n"/>
      <c r="B162" s="13" t="n"/>
      <c r="C162" s="13" t="n"/>
      <c r="D162" s="13" t="n"/>
      <c r="E162" s="13" t="n"/>
    </row>
    <row r="163">
      <c r="A163" s="13" t="n"/>
      <c r="B163" s="13" t="n"/>
      <c r="C163" s="13" t="n"/>
      <c r="D163" s="13" t="n"/>
      <c r="E163" s="13" t="n"/>
    </row>
    <row r="164">
      <c r="A164" s="13" t="n"/>
      <c r="B164" s="13" t="n"/>
      <c r="C164" s="13" t="n"/>
      <c r="D164" s="13" t="n"/>
      <c r="E164" s="13" t="n"/>
    </row>
    <row r="165">
      <c r="A165" s="13" t="n"/>
      <c r="B165" s="13" t="n"/>
      <c r="C165" s="13" t="n"/>
      <c r="D165" s="13" t="n"/>
      <c r="E165" s="13" t="n"/>
    </row>
    <row r="166">
      <c r="A166" s="13" t="n"/>
      <c r="B166" s="13" t="n"/>
      <c r="C166" s="13" t="n"/>
      <c r="D166" s="13" t="n"/>
      <c r="E166" s="13" t="n"/>
    </row>
    <row r="167">
      <c r="A167" s="13" t="n"/>
      <c r="B167" s="13" t="n"/>
      <c r="C167" s="13" t="n"/>
      <c r="D167" s="13" t="n"/>
      <c r="E167" s="13" t="n"/>
    </row>
    <row r="168">
      <c r="A168" s="13" t="n"/>
      <c r="B168" s="13" t="n"/>
      <c r="C168" s="13" t="n"/>
      <c r="D168" s="13" t="n"/>
      <c r="E168" s="13" t="n"/>
    </row>
    <row r="169">
      <c r="A169" s="13" t="n"/>
      <c r="B169" s="13" t="n"/>
      <c r="C169" s="13" t="n"/>
      <c r="D169" s="13" t="n"/>
      <c r="E169" s="13" t="n"/>
    </row>
    <row r="170">
      <c r="A170" s="13" t="n"/>
      <c r="B170" s="13" t="n"/>
      <c r="C170" s="13" t="n"/>
      <c r="D170" s="13" t="n"/>
      <c r="E170" s="13" t="n"/>
    </row>
    <row r="171">
      <c r="A171" s="13" t="n"/>
      <c r="B171" s="13" t="n"/>
      <c r="C171" s="13" t="n"/>
      <c r="D171" s="13" t="n"/>
      <c r="E171" s="13" t="n"/>
    </row>
    <row r="172">
      <c r="A172" s="13" t="n"/>
      <c r="B172" s="13" t="n"/>
      <c r="C172" s="13" t="n"/>
      <c r="D172" s="13" t="n"/>
      <c r="E172" s="13" t="n"/>
    </row>
    <row r="173">
      <c r="A173" s="13" t="n"/>
      <c r="B173" s="13" t="n"/>
      <c r="C173" s="13" t="n"/>
      <c r="D173" s="13" t="n"/>
      <c r="E173" s="13" t="n"/>
    </row>
    <row r="174">
      <c r="A174" s="13" t="n"/>
      <c r="B174" s="13" t="n"/>
      <c r="C174" s="13" t="n"/>
      <c r="D174" s="13" t="n"/>
      <c r="E174" s="13" t="n"/>
    </row>
    <row r="175">
      <c r="A175" s="13" t="n"/>
      <c r="B175" s="13" t="n"/>
      <c r="C175" s="13" t="n"/>
      <c r="D175" s="13" t="n"/>
      <c r="E175" s="13" t="n"/>
    </row>
    <row r="176">
      <c r="A176" s="13" t="n"/>
      <c r="B176" s="13" t="n"/>
      <c r="C176" s="13" t="n"/>
      <c r="D176" s="13" t="n"/>
      <c r="E176" s="13" t="n"/>
    </row>
    <row r="177">
      <c r="A177" s="13" t="n"/>
      <c r="B177" s="13" t="n"/>
      <c r="C177" s="13" t="n"/>
      <c r="D177" s="13" t="n"/>
      <c r="E177" s="13" t="n"/>
    </row>
    <row r="178">
      <c r="A178" s="13" t="n"/>
      <c r="B178" s="13" t="n"/>
      <c r="C178" s="13" t="n"/>
      <c r="D178" s="13" t="n"/>
      <c r="E178" s="13" t="n"/>
    </row>
    <row r="179">
      <c r="A179" s="13" t="n"/>
      <c r="B179" s="13" t="n"/>
      <c r="C179" s="13" t="n"/>
      <c r="D179" s="13" t="n"/>
      <c r="E179" s="13" t="n"/>
    </row>
    <row r="180">
      <c r="A180" s="13" t="n"/>
      <c r="B180" s="13" t="n"/>
      <c r="C180" s="13" t="n"/>
      <c r="D180" s="13" t="n"/>
      <c r="E180" s="13" t="n"/>
    </row>
    <row r="181">
      <c r="A181" s="13" t="n"/>
      <c r="B181" s="13" t="n"/>
      <c r="C181" s="13" t="n"/>
      <c r="D181" s="13" t="n"/>
      <c r="E181" s="13" t="n"/>
    </row>
    <row r="182">
      <c r="A182" s="13" t="n"/>
      <c r="B182" s="13" t="n"/>
      <c r="C182" s="13" t="n"/>
      <c r="D182" s="13" t="n"/>
      <c r="E182" s="13" t="n"/>
    </row>
    <row r="183">
      <c r="A183" s="13" t="n"/>
      <c r="B183" s="13" t="n"/>
      <c r="C183" s="13" t="n"/>
      <c r="D183" s="13" t="n"/>
      <c r="E183" s="13" t="n"/>
    </row>
    <row r="184">
      <c r="A184" s="13" t="n"/>
      <c r="B184" s="13" t="n"/>
      <c r="C184" s="13" t="n"/>
      <c r="D184" s="13" t="n"/>
      <c r="E184" s="13" t="n"/>
    </row>
    <row r="185">
      <c r="A185" s="13" t="n"/>
      <c r="B185" s="13" t="n"/>
      <c r="C185" s="13" t="n"/>
      <c r="D185" s="13" t="n"/>
      <c r="E185" s="13" t="n"/>
    </row>
    <row r="186">
      <c r="A186" s="13" t="n"/>
      <c r="B186" s="13" t="n"/>
      <c r="C186" s="13" t="n"/>
      <c r="D186" s="13" t="n"/>
      <c r="E186" s="13" t="n"/>
    </row>
    <row r="187">
      <c r="A187" s="13" t="n"/>
      <c r="B187" s="13" t="n"/>
      <c r="C187" s="13" t="n"/>
      <c r="D187" s="13" t="n"/>
      <c r="E187" s="13" t="n"/>
    </row>
    <row r="188">
      <c r="A188" s="13" t="n"/>
      <c r="B188" s="13" t="n"/>
      <c r="C188" s="13" t="n"/>
      <c r="D188" s="13" t="n"/>
      <c r="E188" s="13" t="n"/>
    </row>
    <row r="189">
      <c r="A189" s="13" t="n"/>
      <c r="B189" s="13" t="n"/>
      <c r="C189" s="13" t="n"/>
      <c r="D189" s="13" t="n"/>
      <c r="E189" s="13" t="n"/>
    </row>
    <row r="190">
      <c r="A190" s="13" t="n"/>
      <c r="B190" s="13" t="n"/>
      <c r="C190" s="13" t="n"/>
      <c r="D190" s="13" t="n"/>
      <c r="E190" s="13" t="n"/>
    </row>
    <row r="191">
      <c r="A191" s="13" t="n"/>
      <c r="B191" s="13" t="n"/>
      <c r="C191" s="13" t="n"/>
      <c r="D191" s="13" t="n"/>
      <c r="E191" s="13" t="n"/>
    </row>
    <row r="192">
      <c r="A192" s="13" t="n"/>
      <c r="B192" s="13" t="n"/>
      <c r="C192" s="13" t="n"/>
      <c r="D192" s="13" t="n"/>
      <c r="E192" s="13" t="n"/>
    </row>
    <row r="193">
      <c r="A193" s="13" t="n"/>
      <c r="B193" s="13" t="n"/>
      <c r="C193" s="13" t="n"/>
      <c r="D193" s="13" t="n"/>
      <c r="E193" s="13" t="n"/>
    </row>
    <row r="194">
      <c r="A194" s="13" t="n"/>
      <c r="B194" s="13" t="n"/>
      <c r="C194" s="13" t="n"/>
      <c r="D194" s="13" t="n"/>
      <c r="E194" s="13" t="n"/>
    </row>
    <row r="195">
      <c r="A195" s="13" t="n"/>
      <c r="B195" s="13" t="n"/>
      <c r="C195" s="13" t="n"/>
      <c r="D195" s="13" t="n"/>
      <c r="E195" s="13" t="n"/>
    </row>
    <row r="196">
      <c r="A196" s="13" t="n"/>
      <c r="B196" s="13" t="n"/>
      <c r="C196" s="13" t="n"/>
      <c r="D196" s="13" t="n"/>
      <c r="E196" s="13" t="n"/>
    </row>
    <row r="197">
      <c r="A197" s="13" t="n"/>
      <c r="B197" s="13" t="n"/>
      <c r="C197" s="13" t="n"/>
      <c r="D197" s="13" t="n"/>
      <c r="E197" s="13" t="n"/>
    </row>
    <row r="198">
      <c r="A198" s="13" t="n"/>
      <c r="B198" s="13" t="n"/>
      <c r="C198" s="13" t="n"/>
      <c r="D198" s="13" t="n"/>
      <c r="E198" s="13" t="n"/>
    </row>
    <row r="199">
      <c r="A199" s="13" t="n"/>
      <c r="B199" s="13" t="n"/>
      <c r="C199" s="13" t="n"/>
      <c r="D199" s="13" t="n"/>
      <c r="E199" s="13" t="n"/>
    </row>
    <row r="200">
      <c r="A200" s="13" t="n"/>
      <c r="B200" s="13" t="n"/>
      <c r="C200" s="13" t="n"/>
      <c r="D200" s="13" t="n"/>
      <c r="E200" s="13" t="n"/>
    </row>
    <row r="201">
      <c r="A201" s="13" t="n"/>
      <c r="B201" s="13" t="n"/>
      <c r="C201" s="13" t="n"/>
      <c r="D201" s="13" t="n"/>
      <c r="E201" s="13" t="n"/>
    </row>
    <row r="202">
      <c r="A202" s="13" t="n"/>
      <c r="B202" s="13" t="n"/>
      <c r="C202" s="13" t="n"/>
      <c r="D202" s="13" t="n"/>
      <c r="E202" s="13" t="n"/>
    </row>
    <row r="203">
      <c r="A203" s="13" t="n"/>
      <c r="B203" s="13" t="n"/>
      <c r="C203" s="13" t="n"/>
      <c r="D203" s="13" t="n"/>
      <c r="E203" s="13" t="n"/>
    </row>
    <row r="204">
      <c r="A204" s="13" t="n"/>
      <c r="B204" s="13" t="n"/>
      <c r="C204" s="13" t="n"/>
      <c r="D204" s="13" t="n"/>
      <c r="E204" s="13" t="n"/>
    </row>
  </sheetData>
  <dataValidations count="3">
    <dataValidation sqref="B5:B204" showDropDown="0" showInputMessage="0" showErrorMessage="0" allowBlank="1" errorTitle="入力エラー" error="リストから選んでください" type="list">
      <formula1>"陽性,陰性"</formula1>
    </dataValidation>
    <dataValidation sqref="C5:C204" showDropDown="0" showInputMessage="0" showErrorMessage="0" allowBlank="1" errorTitle="入力エラー" error="リストから選んでください" type="list">
      <formula1>"磁性あり,磁性なし"</formula1>
    </dataValidation>
    <dataValidation sqref="A5:A204" showDropDown="0" showInputMessage="0" showErrorMessage="0" allowBlank="1" type="list">
      <formula1>='01_試料マスタ'!$A$2:$A$121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34" customWidth="1" min="6" max="6"/>
    <col width="20" customWidth="1" min="7" max="7"/>
    <col width="9" customWidth="1" min="8" max="8"/>
    <col width="34" customWidth="1" min="9" max="9"/>
  </cols>
  <sheetData>
    <row r="1" ht="32" customHeight="1">
      <c r="A1" s="9" t="inlineStr">
        <is>
          <t>実施日</t>
        </is>
      </c>
      <c r="B1" s="9" t="inlineStr">
        <is>
          <t>装置</t>
        </is>
      </c>
      <c r="C1" s="9" t="inlineStr">
        <is>
          <t>開始</t>
        </is>
      </c>
      <c r="D1" s="9" t="inlineStr">
        <is>
          <t>終了</t>
        </is>
      </c>
      <c r="E1" s="9" t="inlineStr">
        <is>
          <t>所要 (h)</t>
        </is>
      </c>
      <c r="F1" s="9" t="inlineStr">
        <is>
          <t>目的・実施内容</t>
        </is>
      </c>
      <c r="G1" s="9" t="inlineStr">
        <is>
          <t>立会者</t>
        </is>
      </c>
      <c r="H1" s="9" t="inlineStr">
        <is>
          <t>試料点数</t>
        </is>
      </c>
      <c r="I1" s="9" t="inlineStr">
        <is>
          <t>特記事項・中断の有無</t>
        </is>
      </c>
    </row>
    <row r="2">
      <c r="A2" s="11" t="n">
        <v>46063</v>
      </c>
      <c r="B2" s="10" t="inlineStr">
        <is>
          <t>3T</t>
        </is>
      </c>
      <c r="C2" s="39" t="n">
        <v>0.7708333333333334</v>
      </c>
      <c r="D2" s="39" t="n">
        <v>0.875</v>
      </c>
      <c r="E2" s="26">
        <f>IF(OR(C2="",D2=""),"",ROUND((D2-C2)*24,1))</f>
        <v/>
      </c>
      <c r="F2" s="10" t="inlineStr">
        <is>
          <t>案B 距離依存性 撮影</t>
        </is>
      </c>
      <c r="G2" s="10" t="inlineStr">
        <is>
          <t>山田・佐藤</t>
        </is>
      </c>
      <c r="H2" s="10" t="n">
        <v>12</v>
      </c>
      <c r="I2" s="10" t="inlineStr">
        <is>
          <t>異常なし</t>
        </is>
      </c>
    </row>
    <row r="3">
      <c r="A3" s="14" t="n"/>
      <c r="B3" s="13" t="n"/>
      <c r="C3" s="40" t="n"/>
      <c r="D3" s="40" t="n"/>
      <c r="E3" s="26">
        <f>IF(OR(C3="",D3=""),"",ROUND((D3-C3)*24,1))</f>
        <v/>
      </c>
      <c r="F3" s="13" t="n"/>
      <c r="G3" s="13" t="n"/>
      <c r="H3" s="13" t="n"/>
      <c r="I3" s="13" t="n"/>
    </row>
    <row r="4">
      <c r="A4" s="14" t="n"/>
      <c r="B4" s="13" t="n"/>
      <c r="C4" s="40" t="n"/>
      <c r="D4" s="40" t="n"/>
      <c r="E4" s="26">
        <f>IF(OR(C4="",D4=""),"",ROUND((D4-C4)*24,1))</f>
        <v/>
      </c>
      <c r="F4" s="13" t="n"/>
      <c r="G4" s="13" t="n"/>
      <c r="H4" s="13" t="n"/>
      <c r="I4" s="13" t="n"/>
    </row>
    <row r="5">
      <c r="A5" s="14" t="n"/>
      <c r="B5" s="13" t="n"/>
      <c r="C5" s="40" t="n"/>
      <c r="D5" s="40" t="n"/>
      <c r="E5" s="26">
        <f>IF(OR(C5="",D5=""),"",ROUND((D5-C5)*24,1))</f>
        <v/>
      </c>
      <c r="F5" s="13" t="n"/>
      <c r="G5" s="13" t="n"/>
      <c r="H5" s="13" t="n"/>
      <c r="I5" s="13" t="n"/>
    </row>
    <row r="6">
      <c r="A6" s="14" t="n"/>
      <c r="B6" s="13" t="n"/>
      <c r="C6" s="40" t="n"/>
      <c r="D6" s="40" t="n"/>
      <c r="E6" s="26">
        <f>IF(OR(C6="",D6=""),"",ROUND((D6-C6)*24,1))</f>
        <v/>
      </c>
      <c r="F6" s="13" t="n"/>
      <c r="G6" s="13" t="n"/>
      <c r="H6" s="13" t="n"/>
      <c r="I6" s="13" t="n"/>
    </row>
    <row r="7">
      <c r="A7" s="14" t="n"/>
      <c r="B7" s="13" t="n"/>
      <c r="C7" s="40" t="n"/>
      <c r="D7" s="40" t="n"/>
      <c r="E7" s="26">
        <f>IF(OR(C7="",D7=""),"",ROUND((D7-C7)*24,1))</f>
        <v/>
      </c>
      <c r="F7" s="13" t="n"/>
      <c r="G7" s="13" t="n"/>
      <c r="H7" s="13" t="n"/>
      <c r="I7" s="13" t="n"/>
    </row>
    <row r="8">
      <c r="A8" s="14" t="n"/>
      <c r="B8" s="13" t="n"/>
      <c r="C8" s="40" t="n"/>
      <c r="D8" s="40" t="n"/>
      <c r="E8" s="26">
        <f>IF(OR(C8="",D8=""),"",ROUND((D8-C8)*24,1))</f>
        <v/>
      </c>
      <c r="F8" s="13" t="n"/>
      <c r="G8" s="13" t="n"/>
      <c r="H8" s="13" t="n"/>
      <c r="I8" s="13" t="n"/>
    </row>
    <row r="9">
      <c r="A9" s="14" t="n"/>
      <c r="B9" s="13" t="n"/>
      <c r="C9" s="40" t="n"/>
      <c r="D9" s="40" t="n"/>
      <c r="E9" s="26">
        <f>IF(OR(C9="",D9=""),"",ROUND((D9-C9)*24,1))</f>
        <v/>
      </c>
      <c r="F9" s="13" t="n"/>
      <c r="G9" s="13" t="n"/>
      <c r="H9" s="13" t="n"/>
      <c r="I9" s="13" t="n"/>
    </row>
    <row r="10">
      <c r="A10" s="14" t="n"/>
      <c r="B10" s="13" t="n"/>
      <c r="C10" s="40" t="n"/>
      <c r="D10" s="40" t="n"/>
      <c r="E10" s="26">
        <f>IF(OR(C10="",D10=""),"",ROUND((D10-C10)*24,1))</f>
        <v/>
      </c>
      <c r="F10" s="13" t="n"/>
      <c r="G10" s="13" t="n"/>
      <c r="H10" s="13" t="n"/>
      <c r="I10" s="13" t="n"/>
    </row>
    <row r="11">
      <c r="A11" s="14" t="n"/>
      <c r="B11" s="13" t="n"/>
      <c r="C11" s="40" t="n"/>
      <c r="D11" s="40" t="n"/>
      <c r="E11" s="26">
        <f>IF(OR(C11="",D11=""),"",ROUND((D11-C11)*24,1))</f>
        <v/>
      </c>
      <c r="F11" s="13" t="n"/>
      <c r="G11" s="13" t="n"/>
      <c r="H11" s="13" t="n"/>
      <c r="I11" s="13" t="n"/>
    </row>
    <row r="12">
      <c r="A12" s="14" t="n"/>
      <c r="B12" s="13" t="n"/>
      <c r="C12" s="40" t="n"/>
      <c r="D12" s="40" t="n"/>
      <c r="E12" s="26">
        <f>IF(OR(C12="",D12=""),"",ROUND((D12-C12)*24,1))</f>
        <v/>
      </c>
      <c r="F12" s="13" t="n"/>
      <c r="G12" s="13" t="n"/>
      <c r="H12" s="13" t="n"/>
      <c r="I12" s="13" t="n"/>
    </row>
    <row r="13">
      <c r="A13" s="14" t="n"/>
      <c r="B13" s="13" t="n"/>
      <c r="C13" s="40" t="n"/>
      <c r="D13" s="40" t="n"/>
      <c r="E13" s="26">
        <f>IF(OR(C13="",D13=""),"",ROUND((D13-C13)*24,1))</f>
        <v/>
      </c>
      <c r="F13" s="13" t="n"/>
      <c r="G13" s="13" t="n"/>
      <c r="H13" s="13" t="n"/>
      <c r="I13" s="13" t="n"/>
    </row>
    <row r="14">
      <c r="A14" s="14" t="n"/>
      <c r="B14" s="13" t="n"/>
      <c r="C14" s="40" t="n"/>
      <c r="D14" s="40" t="n"/>
      <c r="E14" s="26">
        <f>IF(OR(C14="",D14=""),"",ROUND((D14-C14)*24,1))</f>
        <v/>
      </c>
      <c r="F14" s="13" t="n"/>
      <c r="G14" s="13" t="n"/>
      <c r="H14" s="13" t="n"/>
      <c r="I14" s="13" t="n"/>
    </row>
    <row r="15">
      <c r="A15" s="14" t="n"/>
      <c r="B15" s="13" t="n"/>
      <c r="C15" s="40" t="n"/>
      <c r="D15" s="40" t="n"/>
      <c r="E15" s="26">
        <f>IF(OR(C15="",D15=""),"",ROUND((D15-C15)*24,1))</f>
        <v/>
      </c>
      <c r="F15" s="13" t="n"/>
      <c r="G15" s="13" t="n"/>
      <c r="H15" s="13" t="n"/>
      <c r="I15" s="13" t="n"/>
    </row>
    <row r="16">
      <c r="A16" s="14" t="n"/>
      <c r="B16" s="13" t="n"/>
      <c r="C16" s="40" t="n"/>
      <c r="D16" s="40" t="n"/>
      <c r="E16" s="26">
        <f>IF(OR(C16="",D16=""),"",ROUND((D16-C16)*24,1))</f>
        <v/>
      </c>
      <c r="F16" s="13" t="n"/>
      <c r="G16" s="13" t="n"/>
      <c r="H16" s="13" t="n"/>
      <c r="I16" s="13" t="n"/>
    </row>
    <row r="17">
      <c r="A17" s="14" t="n"/>
      <c r="B17" s="13" t="n"/>
      <c r="C17" s="40" t="n"/>
      <c r="D17" s="40" t="n"/>
      <c r="E17" s="26">
        <f>IF(OR(C17="",D17=""),"",ROUND((D17-C17)*24,1))</f>
        <v/>
      </c>
      <c r="F17" s="13" t="n"/>
      <c r="G17" s="13" t="n"/>
      <c r="H17" s="13" t="n"/>
      <c r="I17" s="13" t="n"/>
    </row>
    <row r="18">
      <c r="A18" s="14" t="n"/>
      <c r="B18" s="13" t="n"/>
      <c r="C18" s="40" t="n"/>
      <c r="D18" s="40" t="n"/>
      <c r="E18" s="26">
        <f>IF(OR(C18="",D18=""),"",ROUND((D18-C18)*24,1))</f>
        <v/>
      </c>
      <c r="F18" s="13" t="n"/>
      <c r="G18" s="13" t="n"/>
      <c r="H18" s="13" t="n"/>
      <c r="I18" s="13" t="n"/>
    </row>
    <row r="19">
      <c r="A19" s="14" t="n"/>
      <c r="B19" s="13" t="n"/>
      <c r="C19" s="40" t="n"/>
      <c r="D19" s="40" t="n"/>
      <c r="E19" s="26">
        <f>IF(OR(C19="",D19=""),"",ROUND((D19-C19)*24,1))</f>
        <v/>
      </c>
      <c r="F19" s="13" t="n"/>
      <c r="G19" s="13" t="n"/>
      <c r="H19" s="13" t="n"/>
      <c r="I19" s="13" t="n"/>
    </row>
    <row r="20">
      <c r="A20" s="14" t="n"/>
      <c r="B20" s="13" t="n"/>
      <c r="C20" s="40" t="n"/>
      <c r="D20" s="40" t="n"/>
      <c r="E20" s="26">
        <f>IF(OR(C20="",D20=""),"",ROUND((D20-C20)*24,1))</f>
        <v/>
      </c>
      <c r="F20" s="13" t="n"/>
      <c r="G20" s="13" t="n"/>
      <c r="H20" s="13" t="n"/>
      <c r="I20" s="13" t="n"/>
    </row>
    <row r="21">
      <c r="A21" s="14" t="n"/>
      <c r="B21" s="13" t="n"/>
      <c r="C21" s="40" t="n"/>
      <c r="D21" s="40" t="n"/>
      <c r="E21" s="26">
        <f>IF(OR(C21="",D21=""),"",ROUND((D21-C21)*24,1))</f>
        <v/>
      </c>
      <c r="F21" s="13" t="n"/>
      <c r="G21" s="13" t="n"/>
      <c r="H21" s="13" t="n"/>
      <c r="I21" s="13" t="n"/>
    </row>
    <row r="22">
      <c r="A22" s="14" t="n"/>
      <c r="B22" s="13" t="n"/>
      <c r="C22" s="40" t="n"/>
      <c r="D22" s="40" t="n"/>
      <c r="E22" s="26">
        <f>IF(OR(C22="",D22=""),"",ROUND((D22-C22)*24,1))</f>
        <v/>
      </c>
      <c r="F22" s="13" t="n"/>
      <c r="G22" s="13" t="n"/>
      <c r="H22" s="13" t="n"/>
      <c r="I22" s="13" t="n"/>
    </row>
    <row r="23">
      <c r="A23" s="14" t="n"/>
      <c r="B23" s="13" t="n"/>
      <c r="C23" s="40" t="n"/>
      <c r="D23" s="40" t="n"/>
      <c r="E23" s="26">
        <f>IF(OR(C23="",D23=""),"",ROUND((D23-C23)*24,1))</f>
        <v/>
      </c>
      <c r="F23" s="13" t="n"/>
      <c r="G23" s="13" t="n"/>
      <c r="H23" s="13" t="n"/>
      <c r="I23" s="13" t="n"/>
    </row>
    <row r="24">
      <c r="A24" s="14" t="n"/>
      <c r="B24" s="13" t="n"/>
      <c r="C24" s="40" t="n"/>
      <c r="D24" s="40" t="n"/>
      <c r="E24" s="26">
        <f>IF(OR(C24="",D24=""),"",ROUND((D24-C24)*24,1))</f>
        <v/>
      </c>
      <c r="F24" s="13" t="n"/>
      <c r="G24" s="13" t="n"/>
      <c r="H24" s="13" t="n"/>
      <c r="I24" s="13" t="n"/>
    </row>
    <row r="25">
      <c r="A25" s="14" t="n"/>
      <c r="B25" s="13" t="n"/>
      <c r="C25" s="40" t="n"/>
      <c r="D25" s="40" t="n"/>
      <c r="E25" s="26">
        <f>IF(OR(C25="",D25=""),"",ROUND((D25-C25)*24,1))</f>
        <v/>
      </c>
      <c r="F25" s="13" t="n"/>
      <c r="G25" s="13" t="n"/>
      <c r="H25" s="13" t="n"/>
      <c r="I25" s="13" t="n"/>
    </row>
    <row r="26">
      <c r="A26" s="14" t="n"/>
      <c r="B26" s="13" t="n"/>
      <c r="C26" s="40" t="n"/>
      <c r="D26" s="40" t="n"/>
      <c r="E26" s="26">
        <f>IF(OR(C26="",D26=""),"",ROUND((D26-C26)*24,1))</f>
        <v/>
      </c>
      <c r="F26" s="13" t="n"/>
      <c r="G26" s="13" t="n"/>
      <c r="H26" s="13" t="n"/>
      <c r="I26" s="13" t="n"/>
    </row>
    <row r="27">
      <c r="A27" s="14" t="n"/>
      <c r="B27" s="13" t="n"/>
      <c r="C27" s="40" t="n"/>
      <c r="D27" s="40" t="n"/>
      <c r="E27" s="26">
        <f>IF(OR(C27="",D27=""),"",ROUND((D27-C27)*24,1))</f>
        <v/>
      </c>
      <c r="F27" s="13" t="n"/>
      <c r="G27" s="13" t="n"/>
      <c r="H27" s="13" t="n"/>
      <c r="I27" s="13" t="n"/>
    </row>
    <row r="28">
      <c r="A28" s="14" t="n"/>
      <c r="B28" s="13" t="n"/>
      <c r="C28" s="40" t="n"/>
      <c r="D28" s="40" t="n"/>
      <c r="E28" s="26">
        <f>IF(OR(C28="",D28=""),"",ROUND((D28-C28)*24,1))</f>
        <v/>
      </c>
      <c r="F28" s="13" t="n"/>
      <c r="G28" s="13" t="n"/>
      <c r="H28" s="13" t="n"/>
      <c r="I28" s="13" t="n"/>
    </row>
    <row r="29">
      <c r="A29" s="14" t="n"/>
      <c r="B29" s="13" t="n"/>
      <c r="C29" s="40" t="n"/>
      <c r="D29" s="40" t="n"/>
      <c r="E29" s="26">
        <f>IF(OR(C29="",D29=""),"",ROUND((D29-C29)*24,1))</f>
        <v/>
      </c>
      <c r="F29" s="13" t="n"/>
      <c r="G29" s="13" t="n"/>
      <c r="H29" s="13" t="n"/>
      <c r="I29" s="13" t="n"/>
    </row>
    <row r="30">
      <c r="A30" s="14" t="n"/>
      <c r="B30" s="13" t="n"/>
      <c r="C30" s="40" t="n"/>
      <c r="D30" s="40" t="n"/>
      <c r="E30" s="26">
        <f>IF(OR(C30="",D30=""),"",ROUND((D30-C30)*24,1))</f>
        <v/>
      </c>
      <c r="F30" s="13" t="n"/>
      <c r="G30" s="13" t="n"/>
      <c r="H30" s="13" t="n"/>
      <c r="I30" s="13" t="n"/>
    </row>
    <row r="31">
      <c r="A31" s="14" t="n"/>
      <c r="B31" s="13" t="n"/>
      <c r="C31" s="40" t="n"/>
      <c r="D31" s="40" t="n"/>
      <c r="E31" s="26">
        <f>IF(OR(C31="",D31=""),"",ROUND((D31-C31)*24,1))</f>
        <v/>
      </c>
      <c r="F31" s="13" t="n"/>
      <c r="G31" s="13" t="n"/>
      <c r="H31" s="13" t="n"/>
      <c r="I31" s="13" t="n"/>
    </row>
    <row r="32">
      <c r="A32" s="14" t="n"/>
      <c r="B32" s="13" t="n"/>
      <c r="C32" s="40" t="n"/>
      <c r="D32" s="40" t="n"/>
      <c r="E32" s="26">
        <f>IF(OR(C32="",D32=""),"",ROUND((D32-C32)*24,1))</f>
        <v/>
      </c>
      <c r="F32" s="13" t="n"/>
      <c r="G32" s="13" t="n"/>
      <c r="H32" s="13" t="n"/>
      <c r="I32" s="13" t="n"/>
    </row>
    <row r="33">
      <c r="A33" s="14" t="n"/>
      <c r="B33" s="13" t="n"/>
      <c r="C33" s="40" t="n"/>
      <c r="D33" s="40" t="n"/>
      <c r="E33" s="26">
        <f>IF(OR(C33="",D33=""),"",ROUND((D33-C33)*24,1))</f>
        <v/>
      </c>
      <c r="F33" s="13" t="n"/>
      <c r="G33" s="13" t="n"/>
      <c r="H33" s="13" t="n"/>
      <c r="I33" s="13" t="n"/>
    </row>
    <row r="34">
      <c r="A34" s="14" t="n"/>
      <c r="B34" s="13" t="n"/>
      <c r="C34" s="40" t="n"/>
      <c r="D34" s="40" t="n"/>
      <c r="E34" s="26">
        <f>IF(OR(C34="",D34=""),"",ROUND((D34-C34)*24,1))</f>
        <v/>
      </c>
      <c r="F34" s="13" t="n"/>
      <c r="G34" s="13" t="n"/>
      <c r="H34" s="13" t="n"/>
      <c r="I34" s="13" t="n"/>
    </row>
    <row r="35">
      <c r="A35" s="14" t="n"/>
      <c r="B35" s="13" t="n"/>
      <c r="C35" s="40" t="n"/>
      <c r="D35" s="40" t="n"/>
      <c r="E35" s="26">
        <f>IF(OR(C35="",D35=""),"",ROUND((D35-C35)*24,1))</f>
        <v/>
      </c>
      <c r="F35" s="13" t="n"/>
      <c r="G35" s="13" t="n"/>
      <c r="H35" s="13" t="n"/>
      <c r="I35" s="13" t="n"/>
    </row>
    <row r="36">
      <c r="A36" s="14" t="n"/>
      <c r="B36" s="13" t="n"/>
      <c r="C36" s="40" t="n"/>
      <c r="D36" s="40" t="n"/>
      <c r="E36" s="26">
        <f>IF(OR(C36="",D36=""),"",ROUND((D36-C36)*24,1))</f>
        <v/>
      </c>
      <c r="F36" s="13" t="n"/>
      <c r="G36" s="13" t="n"/>
      <c r="H36" s="13" t="n"/>
      <c r="I36" s="13" t="n"/>
    </row>
    <row r="37">
      <c r="A37" s="14" t="n"/>
      <c r="B37" s="13" t="n"/>
      <c r="C37" s="40" t="n"/>
      <c r="D37" s="40" t="n"/>
      <c r="E37" s="26">
        <f>IF(OR(C37="",D37=""),"",ROUND((D37-C37)*24,1))</f>
        <v/>
      </c>
      <c r="F37" s="13" t="n"/>
      <c r="G37" s="13" t="n"/>
      <c r="H37" s="13" t="n"/>
      <c r="I37" s="13" t="n"/>
    </row>
    <row r="38">
      <c r="A38" s="14" t="n"/>
      <c r="B38" s="13" t="n"/>
      <c r="C38" s="40" t="n"/>
      <c r="D38" s="40" t="n"/>
      <c r="E38" s="26">
        <f>IF(OR(C38="",D38=""),"",ROUND((D38-C38)*24,1))</f>
        <v/>
      </c>
      <c r="F38" s="13" t="n"/>
      <c r="G38" s="13" t="n"/>
      <c r="H38" s="13" t="n"/>
      <c r="I38" s="13" t="n"/>
    </row>
    <row r="39">
      <c r="A39" s="14" t="n"/>
      <c r="B39" s="13" t="n"/>
      <c r="C39" s="40" t="n"/>
      <c r="D39" s="40" t="n"/>
      <c r="E39" s="26">
        <f>IF(OR(C39="",D39=""),"",ROUND((D39-C39)*24,1))</f>
        <v/>
      </c>
      <c r="F39" s="13" t="n"/>
      <c r="G39" s="13" t="n"/>
      <c r="H39" s="13" t="n"/>
      <c r="I39" s="13" t="n"/>
    </row>
    <row r="40">
      <c r="A40" s="14" t="n"/>
      <c r="B40" s="13" t="n"/>
      <c r="C40" s="40" t="n"/>
      <c r="D40" s="40" t="n"/>
      <c r="E40" s="26">
        <f>IF(OR(C40="",D40=""),"",ROUND((D40-C40)*24,1))</f>
        <v/>
      </c>
      <c r="F40" s="13" t="n"/>
      <c r="G40" s="13" t="n"/>
      <c r="H40" s="13" t="n"/>
      <c r="I40" s="13" t="n"/>
    </row>
    <row r="41">
      <c r="A41" s="14" t="n"/>
      <c r="B41" s="13" t="n"/>
      <c r="C41" s="40" t="n"/>
      <c r="D41" s="40" t="n"/>
      <c r="E41" s="26">
        <f>IF(OR(C41="",D41=""),"",ROUND((D41-C41)*24,1))</f>
        <v/>
      </c>
      <c r="F41" s="13" t="n"/>
      <c r="G41" s="13" t="n"/>
      <c r="H41" s="13" t="n"/>
      <c r="I41" s="13" t="n"/>
    </row>
    <row r="42">
      <c r="A42" s="14" t="n"/>
      <c r="B42" s="13" t="n"/>
      <c r="C42" s="40" t="n"/>
      <c r="D42" s="40" t="n"/>
      <c r="E42" s="26">
        <f>IF(OR(C42="",D42=""),"",ROUND((D42-C42)*24,1))</f>
        <v/>
      </c>
      <c r="F42" s="13" t="n"/>
      <c r="G42" s="13" t="n"/>
      <c r="H42" s="13" t="n"/>
      <c r="I42" s="13" t="n"/>
    </row>
    <row r="43">
      <c r="A43" s="14" t="n"/>
      <c r="B43" s="13" t="n"/>
      <c r="C43" s="40" t="n"/>
      <c r="D43" s="40" t="n"/>
      <c r="E43" s="26">
        <f>IF(OR(C43="",D43=""),"",ROUND((D43-C43)*24,1))</f>
        <v/>
      </c>
      <c r="F43" s="13" t="n"/>
      <c r="G43" s="13" t="n"/>
      <c r="H43" s="13" t="n"/>
      <c r="I43" s="13" t="n"/>
    </row>
    <row r="44">
      <c r="A44" s="14" t="n"/>
      <c r="B44" s="13" t="n"/>
      <c r="C44" s="40" t="n"/>
      <c r="D44" s="40" t="n"/>
      <c r="E44" s="26">
        <f>IF(OR(C44="",D44=""),"",ROUND((D44-C44)*24,1))</f>
        <v/>
      </c>
      <c r="F44" s="13" t="n"/>
      <c r="G44" s="13" t="n"/>
      <c r="H44" s="13" t="n"/>
      <c r="I44" s="13" t="n"/>
    </row>
    <row r="45">
      <c r="A45" s="14" t="n"/>
      <c r="B45" s="13" t="n"/>
      <c r="C45" s="40" t="n"/>
      <c r="D45" s="40" t="n"/>
      <c r="E45" s="26">
        <f>IF(OR(C45="",D45=""),"",ROUND((D45-C45)*24,1))</f>
        <v/>
      </c>
      <c r="F45" s="13" t="n"/>
      <c r="G45" s="13" t="n"/>
      <c r="H45" s="13" t="n"/>
      <c r="I45" s="13" t="n"/>
    </row>
    <row r="46">
      <c r="A46" s="14" t="n"/>
      <c r="B46" s="13" t="n"/>
      <c r="C46" s="40" t="n"/>
      <c r="D46" s="40" t="n"/>
      <c r="E46" s="26">
        <f>IF(OR(C46="",D46=""),"",ROUND((D46-C46)*24,1))</f>
        <v/>
      </c>
      <c r="F46" s="13" t="n"/>
      <c r="G46" s="13" t="n"/>
      <c r="H46" s="13" t="n"/>
      <c r="I46" s="13" t="n"/>
    </row>
    <row r="47">
      <c r="A47" s="14" t="n"/>
      <c r="B47" s="13" t="n"/>
      <c r="C47" s="40" t="n"/>
      <c r="D47" s="40" t="n"/>
      <c r="E47" s="26">
        <f>IF(OR(C47="",D47=""),"",ROUND((D47-C47)*24,1))</f>
        <v/>
      </c>
      <c r="F47" s="13" t="n"/>
      <c r="G47" s="13" t="n"/>
      <c r="H47" s="13" t="n"/>
      <c r="I47" s="13" t="n"/>
    </row>
    <row r="48">
      <c r="A48" s="14" t="n"/>
      <c r="B48" s="13" t="n"/>
      <c r="C48" s="40" t="n"/>
      <c r="D48" s="40" t="n"/>
      <c r="E48" s="26">
        <f>IF(OR(C48="",D48=""),"",ROUND((D48-C48)*24,1))</f>
        <v/>
      </c>
      <c r="F48" s="13" t="n"/>
      <c r="G48" s="13" t="n"/>
      <c r="H48" s="13" t="n"/>
      <c r="I48" s="13" t="n"/>
    </row>
    <row r="49">
      <c r="A49" s="14" t="n"/>
      <c r="B49" s="13" t="n"/>
      <c r="C49" s="40" t="n"/>
      <c r="D49" s="40" t="n"/>
      <c r="E49" s="26">
        <f>IF(OR(C49="",D49=""),"",ROUND((D49-C49)*24,1))</f>
        <v/>
      </c>
      <c r="F49" s="13" t="n"/>
      <c r="G49" s="13" t="n"/>
      <c r="H49" s="13" t="n"/>
      <c r="I49" s="13" t="n"/>
    </row>
    <row r="50">
      <c r="A50" s="14" t="n"/>
      <c r="B50" s="13" t="n"/>
      <c r="C50" s="40" t="n"/>
      <c r="D50" s="40" t="n"/>
      <c r="E50" s="26">
        <f>IF(OR(C50="",D50=""),"",ROUND((D50-C50)*24,1))</f>
        <v/>
      </c>
      <c r="F50" s="13" t="n"/>
      <c r="G50" s="13" t="n"/>
      <c r="H50" s="13" t="n"/>
      <c r="I50" s="13" t="n"/>
    </row>
    <row r="51">
      <c r="A51" s="14" t="n"/>
      <c r="B51" s="13" t="n"/>
      <c r="C51" s="40" t="n"/>
      <c r="D51" s="40" t="n"/>
      <c r="E51" s="26">
        <f>IF(OR(C51="",D51=""),"",ROUND((D51-C51)*24,1))</f>
        <v/>
      </c>
      <c r="F51" s="13" t="n"/>
      <c r="G51" s="13" t="n"/>
      <c r="H51" s="13" t="n"/>
      <c r="I51" s="13" t="n"/>
    </row>
    <row r="52">
      <c r="A52" s="14" t="n"/>
      <c r="B52" s="13" t="n"/>
      <c r="C52" s="40" t="n"/>
      <c r="D52" s="40" t="n"/>
      <c r="E52" s="26">
        <f>IF(OR(C52="",D52=""),"",ROUND((D52-C52)*24,1))</f>
        <v/>
      </c>
      <c r="F52" s="13" t="n"/>
      <c r="G52" s="13" t="n"/>
      <c r="H52" s="13" t="n"/>
      <c r="I52" s="13" t="n"/>
    </row>
    <row r="53">
      <c r="A53" s="14" t="n"/>
      <c r="B53" s="13" t="n"/>
      <c r="C53" s="40" t="n"/>
      <c r="D53" s="40" t="n"/>
      <c r="E53" s="26">
        <f>IF(OR(C53="",D53=""),"",ROUND((D53-C53)*24,1))</f>
        <v/>
      </c>
      <c r="F53" s="13" t="n"/>
      <c r="G53" s="13" t="n"/>
      <c r="H53" s="13" t="n"/>
      <c r="I53" s="13" t="n"/>
    </row>
    <row r="54">
      <c r="A54" s="14" t="n"/>
      <c r="B54" s="13" t="n"/>
      <c r="C54" s="40" t="n"/>
      <c r="D54" s="40" t="n"/>
      <c r="E54" s="26">
        <f>IF(OR(C54="",D54=""),"",ROUND((D54-C54)*24,1))</f>
        <v/>
      </c>
      <c r="F54" s="13" t="n"/>
      <c r="G54" s="13" t="n"/>
      <c r="H54" s="13" t="n"/>
      <c r="I54" s="13" t="n"/>
    </row>
    <row r="55">
      <c r="A55" s="14" t="n"/>
      <c r="B55" s="13" t="n"/>
      <c r="C55" s="40" t="n"/>
      <c r="D55" s="40" t="n"/>
      <c r="E55" s="26">
        <f>IF(OR(C55="",D55=""),"",ROUND((D55-C55)*24,1))</f>
        <v/>
      </c>
      <c r="F55" s="13" t="n"/>
      <c r="G55" s="13" t="n"/>
      <c r="H55" s="13" t="n"/>
      <c r="I55" s="13" t="n"/>
    </row>
    <row r="56">
      <c r="A56" s="14" t="n"/>
      <c r="B56" s="13" t="n"/>
      <c r="C56" s="40" t="n"/>
      <c r="D56" s="40" t="n"/>
      <c r="E56" s="26">
        <f>IF(OR(C56="",D56=""),"",ROUND((D56-C56)*24,1))</f>
        <v/>
      </c>
      <c r="F56" s="13" t="n"/>
      <c r="G56" s="13" t="n"/>
      <c r="H56" s="13" t="n"/>
      <c r="I56" s="13" t="n"/>
    </row>
    <row r="57">
      <c r="A57" s="14" t="n"/>
      <c r="B57" s="13" t="n"/>
      <c r="C57" s="40" t="n"/>
      <c r="D57" s="40" t="n"/>
      <c r="E57" s="26">
        <f>IF(OR(C57="",D57=""),"",ROUND((D57-C57)*24,1))</f>
        <v/>
      </c>
      <c r="F57" s="13" t="n"/>
      <c r="G57" s="13" t="n"/>
      <c r="H57" s="13" t="n"/>
      <c r="I57" s="13" t="n"/>
    </row>
    <row r="58">
      <c r="A58" s="14" t="n"/>
      <c r="B58" s="13" t="n"/>
      <c r="C58" s="40" t="n"/>
      <c r="D58" s="40" t="n"/>
      <c r="E58" s="26">
        <f>IF(OR(C58="",D58=""),"",ROUND((D58-C58)*24,1))</f>
        <v/>
      </c>
      <c r="F58" s="13" t="n"/>
      <c r="G58" s="13" t="n"/>
      <c r="H58" s="13" t="n"/>
      <c r="I58" s="13" t="n"/>
    </row>
    <row r="59">
      <c r="A59" s="14" t="n"/>
      <c r="B59" s="13" t="n"/>
      <c r="C59" s="40" t="n"/>
      <c r="D59" s="40" t="n"/>
      <c r="E59" s="26">
        <f>IF(OR(C59="",D59=""),"",ROUND((D59-C59)*24,1))</f>
        <v/>
      </c>
      <c r="F59" s="13" t="n"/>
      <c r="G59" s="13" t="n"/>
      <c r="H59" s="13" t="n"/>
      <c r="I59" s="13" t="n"/>
    </row>
    <row r="60">
      <c r="A60" s="14" t="n"/>
      <c r="B60" s="13" t="n"/>
      <c r="C60" s="40" t="n"/>
      <c r="D60" s="40" t="n"/>
      <c r="E60" s="26">
        <f>IF(OR(C60="",D60=""),"",ROUND((D60-C60)*24,1))</f>
        <v/>
      </c>
      <c r="F60" s="13" t="n"/>
      <c r="G60" s="13" t="n"/>
      <c r="H60" s="13" t="n"/>
      <c r="I60" s="13" t="n"/>
    </row>
    <row r="61">
      <c r="A61" s="14" t="n"/>
      <c r="B61" s="13" t="n"/>
      <c r="C61" s="40" t="n"/>
      <c r="D61" s="40" t="n"/>
      <c r="E61" s="26">
        <f>IF(OR(C61="",D61=""),"",ROUND((D61-C61)*24,1))</f>
        <v/>
      </c>
      <c r="F61" s="13" t="n"/>
      <c r="G61" s="13" t="n"/>
      <c r="H61" s="13" t="n"/>
      <c r="I61" s="13" t="n"/>
    </row>
    <row r="62">
      <c r="A62" s="14" t="n"/>
      <c r="B62" s="13" t="n"/>
      <c r="C62" s="40" t="n"/>
      <c r="D62" s="40" t="n"/>
      <c r="E62" s="26">
        <f>IF(OR(C62="",D62=""),"",ROUND((D62-C62)*24,1))</f>
        <v/>
      </c>
      <c r="F62" s="13" t="n"/>
      <c r="G62" s="13" t="n"/>
      <c r="H62" s="13" t="n"/>
      <c r="I62" s="13" t="n"/>
    </row>
    <row r="63">
      <c r="A63" s="14" t="n"/>
      <c r="B63" s="13" t="n"/>
      <c r="C63" s="40" t="n"/>
      <c r="D63" s="40" t="n"/>
      <c r="E63" s="26">
        <f>IF(OR(C63="",D63=""),"",ROUND((D63-C63)*24,1))</f>
        <v/>
      </c>
      <c r="F63" s="13" t="n"/>
      <c r="G63" s="13" t="n"/>
      <c r="H63" s="13" t="n"/>
      <c r="I63" s="13" t="n"/>
    </row>
    <row r="64">
      <c r="A64" s="14" t="n"/>
      <c r="B64" s="13" t="n"/>
      <c r="C64" s="40" t="n"/>
      <c r="D64" s="40" t="n"/>
      <c r="E64" s="26">
        <f>IF(OR(C64="",D64=""),"",ROUND((D64-C64)*24,1))</f>
        <v/>
      </c>
      <c r="F64" s="13" t="n"/>
      <c r="G64" s="13" t="n"/>
      <c r="H64" s="13" t="n"/>
      <c r="I64" s="13" t="n"/>
    </row>
    <row r="65">
      <c r="A65" s="14" t="n"/>
      <c r="B65" s="13" t="n"/>
      <c r="C65" s="40" t="n"/>
      <c r="D65" s="40" t="n"/>
      <c r="E65" s="26">
        <f>IF(OR(C65="",D65=""),"",ROUND((D65-C65)*24,1))</f>
        <v/>
      </c>
      <c r="F65" s="13" t="n"/>
      <c r="G65" s="13" t="n"/>
      <c r="H65" s="13" t="n"/>
      <c r="I65" s="13" t="n"/>
    </row>
    <row r="66">
      <c r="A66" s="14" t="n"/>
      <c r="B66" s="13" t="n"/>
      <c r="C66" s="40" t="n"/>
      <c r="D66" s="40" t="n"/>
      <c r="E66" s="26">
        <f>IF(OR(C66="",D66=""),"",ROUND((D66-C66)*24,1))</f>
        <v/>
      </c>
      <c r="F66" s="13" t="n"/>
      <c r="G66" s="13" t="n"/>
      <c r="H66" s="13" t="n"/>
      <c r="I66" s="13" t="n"/>
    </row>
    <row r="67">
      <c r="A67" s="14" t="n"/>
      <c r="B67" s="13" t="n"/>
      <c r="C67" s="40" t="n"/>
      <c r="D67" s="40" t="n"/>
      <c r="E67" s="26">
        <f>IF(OR(C67="",D67=""),"",ROUND((D67-C67)*24,1))</f>
        <v/>
      </c>
      <c r="F67" s="13" t="n"/>
      <c r="G67" s="13" t="n"/>
      <c r="H67" s="13" t="n"/>
      <c r="I67" s="13" t="n"/>
    </row>
    <row r="68">
      <c r="A68" s="14" t="n"/>
      <c r="B68" s="13" t="n"/>
      <c r="C68" s="40" t="n"/>
      <c r="D68" s="40" t="n"/>
      <c r="E68" s="26">
        <f>IF(OR(C68="",D68=""),"",ROUND((D68-C68)*24,1))</f>
        <v/>
      </c>
      <c r="F68" s="13" t="n"/>
      <c r="G68" s="13" t="n"/>
      <c r="H68" s="13" t="n"/>
      <c r="I68" s="13" t="n"/>
    </row>
    <row r="69">
      <c r="A69" s="14" t="n"/>
      <c r="B69" s="13" t="n"/>
      <c r="C69" s="40" t="n"/>
      <c r="D69" s="40" t="n"/>
      <c r="E69" s="26">
        <f>IF(OR(C69="",D69=""),"",ROUND((D69-C69)*24,1))</f>
        <v/>
      </c>
      <c r="F69" s="13" t="n"/>
      <c r="G69" s="13" t="n"/>
      <c r="H69" s="13" t="n"/>
      <c r="I69" s="13" t="n"/>
    </row>
    <row r="70">
      <c r="A70" s="14" t="n"/>
      <c r="B70" s="13" t="n"/>
      <c r="C70" s="40" t="n"/>
      <c r="D70" s="40" t="n"/>
      <c r="E70" s="26">
        <f>IF(OR(C70="",D70=""),"",ROUND((D70-C70)*24,1))</f>
        <v/>
      </c>
      <c r="F70" s="13" t="n"/>
      <c r="G70" s="13" t="n"/>
      <c r="H70" s="13" t="n"/>
      <c r="I70" s="13" t="n"/>
    </row>
    <row r="71">
      <c r="A71" s="14" t="n"/>
      <c r="B71" s="13" t="n"/>
      <c r="C71" s="40" t="n"/>
      <c r="D71" s="40" t="n"/>
      <c r="E71" s="26">
        <f>IF(OR(C71="",D71=""),"",ROUND((D71-C71)*24,1))</f>
        <v/>
      </c>
      <c r="F71" s="13" t="n"/>
      <c r="G71" s="13" t="n"/>
      <c r="H71" s="13" t="n"/>
      <c r="I71" s="13" t="n"/>
    </row>
    <row r="72">
      <c r="A72" s="14" t="n"/>
      <c r="B72" s="13" t="n"/>
      <c r="C72" s="40" t="n"/>
      <c r="D72" s="40" t="n"/>
      <c r="E72" s="26">
        <f>IF(OR(C72="",D72=""),"",ROUND((D72-C72)*24,1))</f>
        <v/>
      </c>
      <c r="F72" s="13" t="n"/>
      <c r="G72" s="13" t="n"/>
      <c r="H72" s="13" t="n"/>
      <c r="I72" s="13" t="n"/>
    </row>
    <row r="73">
      <c r="A73" s="14" t="n"/>
      <c r="B73" s="13" t="n"/>
      <c r="C73" s="40" t="n"/>
      <c r="D73" s="40" t="n"/>
      <c r="E73" s="26">
        <f>IF(OR(C73="",D73=""),"",ROUND((D73-C73)*24,1))</f>
        <v/>
      </c>
      <c r="F73" s="13" t="n"/>
      <c r="G73" s="13" t="n"/>
      <c r="H73" s="13" t="n"/>
      <c r="I73" s="13" t="n"/>
    </row>
    <row r="74">
      <c r="A74" s="14" t="n"/>
      <c r="B74" s="13" t="n"/>
      <c r="C74" s="40" t="n"/>
      <c r="D74" s="40" t="n"/>
      <c r="E74" s="26">
        <f>IF(OR(C74="",D74=""),"",ROUND((D74-C74)*24,1))</f>
        <v/>
      </c>
      <c r="F74" s="13" t="n"/>
      <c r="G74" s="13" t="n"/>
      <c r="H74" s="13" t="n"/>
      <c r="I74" s="13" t="n"/>
    </row>
    <row r="75">
      <c r="A75" s="14" t="n"/>
      <c r="B75" s="13" t="n"/>
      <c r="C75" s="40" t="n"/>
      <c r="D75" s="40" t="n"/>
      <c r="E75" s="26">
        <f>IF(OR(C75="",D75=""),"",ROUND((D75-C75)*24,1))</f>
        <v/>
      </c>
      <c r="F75" s="13" t="n"/>
      <c r="G75" s="13" t="n"/>
      <c r="H75" s="13" t="n"/>
      <c r="I75" s="13" t="n"/>
    </row>
    <row r="76">
      <c r="A76" s="14" t="n"/>
      <c r="B76" s="13" t="n"/>
      <c r="C76" s="40" t="n"/>
      <c r="D76" s="40" t="n"/>
      <c r="E76" s="26">
        <f>IF(OR(C76="",D76=""),"",ROUND((D76-C76)*24,1))</f>
        <v/>
      </c>
      <c r="F76" s="13" t="n"/>
      <c r="G76" s="13" t="n"/>
      <c r="H76" s="13" t="n"/>
      <c r="I76" s="13" t="n"/>
    </row>
    <row r="77">
      <c r="A77" s="14" t="n"/>
      <c r="B77" s="13" t="n"/>
      <c r="C77" s="40" t="n"/>
      <c r="D77" s="40" t="n"/>
      <c r="E77" s="26">
        <f>IF(OR(C77="",D77=""),"",ROUND((D77-C77)*24,1))</f>
        <v/>
      </c>
      <c r="F77" s="13" t="n"/>
      <c r="G77" s="13" t="n"/>
      <c r="H77" s="13" t="n"/>
      <c r="I77" s="13" t="n"/>
    </row>
    <row r="78">
      <c r="A78" s="14" t="n"/>
      <c r="B78" s="13" t="n"/>
      <c r="C78" s="40" t="n"/>
      <c r="D78" s="40" t="n"/>
      <c r="E78" s="26">
        <f>IF(OR(C78="",D78=""),"",ROUND((D78-C78)*24,1))</f>
        <v/>
      </c>
      <c r="F78" s="13" t="n"/>
      <c r="G78" s="13" t="n"/>
      <c r="H78" s="13" t="n"/>
      <c r="I78" s="13" t="n"/>
    </row>
    <row r="79">
      <c r="A79" s="14" t="n"/>
      <c r="B79" s="13" t="n"/>
      <c r="C79" s="40" t="n"/>
      <c r="D79" s="40" t="n"/>
      <c r="E79" s="26">
        <f>IF(OR(C79="",D79=""),"",ROUND((D79-C79)*24,1))</f>
        <v/>
      </c>
      <c r="F79" s="13" t="n"/>
      <c r="G79" s="13" t="n"/>
      <c r="H79" s="13" t="n"/>
      <c r="I79" s="13" t="n"/>
    </row>
    <row r="80">
      <c r="A80" s="14" t="n"/>
      <c r="B80" s="13" t="n"/>
      <c r="C80" s="40" t="n"/>
      <c r="D80" s="40" t="n"/>
      <c r="E80" s="26">
        <f>IF(OR(C80="",D80=""),"",ROUND((D80-C80)*24,1))</f>
        <v/>
      </c>
      <c r="F80" s="13" t="n"/>
      <c r="G80" s="13" t="n"/>
      <c r="H80" s="13" t="n"/>
      <c r="I80" s="13" t="n"/>
    </row>
    <row r="81">
      <c r="A81" s="14" t="n"/>
      <c r="B81" s="13" t="n"/>
      <c r="C81" s="40" t="n"/>
      <c r="D81" s="40" t="n"/>
      <c r="E81" s="26">
        <f>IF(OR(C81="",D81=""),"",ROUND((D81-C81)*24,1))</f>
        <v/>
      </c>
      <c r="F81" s="13" t="n"/>
      <c r="G81" s="13" t="n"/>
      <c r="H81" s="13" t="n"/>
      <c r="I81" s="13" t="n"/>
    </row>
    <row r="82">
      <c r="A82" s="14" t="n"/>
      <c r="B82" s="13" t="n"/>
      <c r="C82" s="40" t="n"/>
      <c r="D82" s="40" t="n"/>
      <c r="E82" s="26">
        <f>IF(OR(C82="",D82=""),"",ROUND((D82-C82)*24,1))</f>
        <v/>
      </c>
      <c r="F82" s="13" t="n"/>
      <c r="G82" s="13" t="n"/>
      <c r="H82" s="13" t="n"/>
      <c r="I82" s="13" t="n"/>
    </row>
    <row r="83">
      <c r="A83" s="14" t="n"/>
      <c r="B83" s="13" t="n"/>
      <c r="C83" s="40" t="n"/>
      <c r="D83" s="40" t="n"/>
      <c r="E83" s="26">
        <f>IF(OR(C83="",D83=""),"",ROUND((D83-C83)*24,1))</f>
        <v/>
      </c>
      <c r="F83" s="13" t="n"/>
      <c r="G83" s="13" t="n"/>
      <c r="H83" s="13" t="n"/>
      <c r="I83" s="13" t="n"/>
    </row>
    <row r="84">
      <c r="A84" s="14" t="n"/>
      <c r="B84" s="13" t="n"/>
      <c r="C84" s="40" t="n"/>
      <c r="D84" s="40" t="n"/>
      <c r="E84" s="26">
        <f>IF(OR(C84="",D84=""),"",ROUND((D84-C84)*24,1))</f>
        <v/>
      </c>
      <c r="F84" s="13" t="n"/>
      <c r="G84" s="13" t="n"/>
      <c r="H84" s="13" t="n"/>
      <c r="I84" s="13" t="n"/>
    </row>
    <row r="85">
      <c r="A85" s="14" t="n"/>
      <c r="B85" s="13" t="n"/>
      <c r="C85" s="40" t="n"/>
      <c r="D85" s="40" t="n"/>
      <c r="E85" s="26">
        <f>IF(OR(C85="",D85=""),"",ROUND((D85-C85)*24,1))</f>
        <v/>
      </c>
      <c r="F85" s="13" t="n"/>
      <c r="G85" s="13" t="n"/>
      <c r="H85" s="13" t="n"/>
      <c r="I85" s="13" t="n"/>
    </row>
    <row r="86">
      <c r="A86" s="14" t="n"/>
      <c r="B86" s="13" t="n"/>
      <c r="C86" s="40" t="n"/>
      <c r="D86" s="40" t="n"/>
      <c r="E86" s="26">
        <f>IF(OR(C86="",D86=""),"",ROUND((D86-C86)*24,1))</f>
        <v/>
      </c>
      <c r="F86" s="13" t="n"/>
      <c r="G86" s="13" t="n"/>
      <c r="H86" s="13" t="n"/>
      <c r="I86" s="13" t="n"/>
    </row>
    <row r="87">
      <c r="A87" s="14" t="n"/>
      <c r="B87" s="13" t="n"/>
      <c r="C87" s="40" t="n"/>
      <c r="D87" s="40" t="n"/>
      <c r="E87" s="26">
        <f>IF(OR(C87="",D87=""),"",ROUND((D87-C87)*24,1))</f>
        <v/>
      </c>
      <c r="F87" s="13" t="n"/>
      <c r="G87" s="13" t="n"/>
      <c r="H87" s="13" t="n"/>
      <c r="I87" s="13" t="n"/>
    </row>
    <row r="88">
      <c r="A88" s="14" t="n"/>
      <c r="B88" s="13" t="n"/>
      <c r="C88" s="40" t="n"/>
      <c r="D88" s="40" t="n"/>
      <c r="E88" s="26">
        <f>IF(OR(C88="",D88=""),"",ROUND((D88-C88)*24,1))</f>
        <v/>
      </c>
      <c r="F88" s="13" t="n"/>
      <c r="G88" s="13" t="n"/>
      <c r="H88" s="13" t="n"/>
      <c r="I88" s="13" t="n"/>
    </row>
    <row r="89">
      <c r="A89" s="14" t="n"/>
      <c r="B89" s="13" t="n"/>
      <c r="C89" s="40" t="n"/>
      <c r="D89" s="40" t="n"/>
      <c r="E89" s="26">
        <f>IF(OR(C89="",D89=""),"",ROUND((D89-C89)*24,1))</f>
        <v/>
      </c>
      <c r="F89" s="13" t="n"/>
      <c r="G89" s="13" t="n"/>
      <c r="H89" s="13" t="n"/>
      <c r="I89" s="13" t="n"/>
    </row>
    <row r="90">
      <c r="A90" s="14" t="n"/>
      <c r="B90" s="13" t="n"/>
      <c r="C90" s="40" t="n"/>
      <c r="D90" s="40" t="n"/>
      <c r="E90" s="26">
        <f>IF(OR(C90="",D90=""),"",ROUND((D90-C90)*24,1))</f>
        <v/>
      </c>
      <c r="F90" s="13" t="n"/>
      <c r="G90" s="13" t="n"/>
      <c r="H90" s="13" t="n"/>
      <c r="I90" s="13" t="n"/>
    </row>
    <row r="91">
      <c r="A91" s="14" t="n"/>
      <c r="B91" s="13" t="n"/>
      <c r="C91" s="40" t="n"/>
      <c r="D91" s="40" t="n"/>
      <c r="E91" s="26">
        <f>IF(OR(C91="",D91=""),"",ROUND((D91-C91)*24,1))</f>
        <v/>
      </c>
      <c r="F91" s="13" t="n"/>
      <c r="G91" s="13" t="n"/>
      <c r="H91" s="13" t="n"/>
      <c r="I91" s="13" t="n"/>
    </row>
    <row r="92">
      <c r="A92" s="14" t="n"/>
      <c r="B92" s="13" t="n"/>
      <c r="C92" s="40" t="n"/>
      <c r="D92" s="40" t="n"/>
      <c r="E92" s="26">
        <f>IF(OR(C92="",D92=""),"",ROUND((D92-C92)*24,1))</f>
        <v/>
      </c>
      <c r="F92" s="13" t="n"/>
      <c r="G92" s="13" t="n"/>
      <c r="H92" s="13" t="n"/>
      <c r="I92" s="13" t="n"/>
    </row>
    <row r="93">
      <c r="A93" s="14" t="n"/>
      <c r="B93" s="13" t="n"/>
      <c r="C93" s="40" t="n"/>
      <c r="D93" s="40" t="n"/>
      <c r="E93" s="26">
        <f>IF(OR(C93="",D93=""),"",ROUND((D93-C93)*24,1))</f>
        <v/>
      </c>
      <c r="F93" s="13" t="n"/>
      <c r="G93" s="13" t="n"/>
      <c r="H93" s="13" t="n"/>
      <c r="I93" s="13" t="n"/>
    </row>
    <row r="94">
      <c r="A94" s="14" t="n"/>
      <c r="B94" s="13" t="n"/>
      <c r="C94" s="40" t="n"/>
      <c r="D94" s="40" t="n"/>
      <c r="E94" s="26">
        <f>IF(OR(C94="",D94=""),"",ROUND((D94-C94)*24,1))</f>
        <v/>
      </c>
      <c r="F94" s="13" t="n"/>
      <c r="G94" s="13" t="n"/>
      <c r="H94" s="13" t="n"/>
      <c r="I94" s="13" t="n"/>
    </row>
    <row r="95">
      <c r="A95" s="14" t="n"/>
      <c r="B95" s="13" t="n"/>
      <c r="C95" s="40" t="n"/>
      <c r="D95" s="40" t="n"/>
      <c r="E95" s="26">
        <f>IF(OR(C95="",D95=""),"",ROUND((D95-C95)*24,1))</f>
        <v/>
      </c>
      <c r="F95" s="13" t="n"/>
      <c r="G95" s="13" t="n"/>
      <c r="H95" s="13" t="n"/>
      <c r="I95" s="13" t="n"/>
    </row>
    <row r="96">
      <c r="A96" s="14" t="n"/>
      <c r="B96" s="13" t="n"/>
      <c r="C96" s="40" t="n"/>
      <c r="D96" s="40" t="n"/>
      <c r="E96" s="26">
        <f>IF(OR(C96="",D96=""),"",ROUND((D96-C96)*24,1))</f>
        <v/>
      </c>
      <c r="F96" s="13" t="n"/>
      <c r="G96" s="13" t="n"/>
      <c r="H96" s="13" t="n"/>
      <c r="I96" s="13" t="n"/>
    </row>
    <row r="97">
      <c r="A97" s="14" t="n"/>
      <c r="B97" s="13" t="n"/>
      <c r="C97" s="40" t="n"/>
      <c r="D97" s="40" t="n"/>
      <c r="E97" s="26">
        <f>IF(OR(C97="",D97=""),"",ROUND((D97-C97)*24,1))</f>
        <v/>
      </c>
      <c r="F97" s="13" t="n"/>
      <c r="G97" s="13" t="n"/>
      <c r="H97" s="13" t="n"/>
      <c r="I97" s="13" t="n"/>
    </row>
    <row r="98">
      <c r="A98" s="14" t="n"/>
      <c r="B98" s="13" t="n"/>
      <c r="C98" s="40" t="n"/>
      <c r="D98" s="40" t="n"/>
      <c r="E98" s="26">
        <f>IF(OR(C98="",D98=""),"",ROUND((D98-C98)*24,1))</f>
        <v/>
      </c>
      <c r="F98" s="13" t="n"/>
      <c r="G98" s="13" t="n"/>
      <c r="H98" s="13" t="n"/>
      <c r="I98" s="13" t="n"/>
    </row>
    <row r="99">
      <c r="A99" s="14" t="n"/>
      <c r="B99" s="13" t="n"/>
      <c r="C99" s="40" t="n"/>
      <c r="D99" s="40" t="n"/>
      <c r="E99" s="26">
        <f>IF(OR(C99="",D99=""),"",ROUND((D99-C99)*24,1))</f>
        <v/>
      </c>
      <c r="F99" s="13" t="n"/>
      <c r="G99" s="13" t="n"/>
      <c r="H99" s="13" t="n"/>
      <c r="I99" s="13" t="n"/>
    </row>
    <row r="100">
      <c r="A100" s="14" t="n"/>
      <c r="B100" s="13" t="n"/>
      <c r="C100" s="40" t="n"/>
      <c r="D100" s="40" t="n"/>
      <c r="E100" s="26">
        <f>IF(OR(C100="",D100=""),"",ROUND((D100-C100)*24,1))</f>
        <v/>
      </c>
      <c r="F100" s="13" t="n"/>
      <c r="G100" s="13" t="n"/>
      <c r="H100" s="13" t="n"/>
      <c r="I100" s="13" t="n"/>
    </row>
    <row r="101">
      <c r="A101" s="14" t="n"/>
      <c r="B101" s="13" t="n"/>
      <c r="C101" s="40" t="n"/>
      <c r="D101" s="40" t="n"/>
      <c r="E101" s="26">
        <f>IF(OR(C101="",D101=""),"",ROUND((D101-C101)*24,1))</f>
        <v/>
      </c>
      <c r="F101" s="13" t="n"/>
      <c r="G101" s="13" t="n"/>
      <c r="H101" s="13" t="n"/>
      <c r="I101" s="13" t="n"/>
    </row>
    <row r="102">
      <c r="A102" s="14" t="n"/>
      <c r="B102" s="13" t="n"/>
      <c r="C102" s="40" t="n"/>
      <c r="D102" s="40" t="n"/>
      <c r="E102" s="26">
        <f>IF(OR(C102="",D102=""),"",ROUND((D102-C102)*24,1))</f>
        <v/>
      </c>
      <c r="F102" s="13" t="n"/>
      <c r="G102" s="13" t="n"/>
      <c r="H102" s="13" t="n"/>
      <c r="I102" s="13" t="n"/>
    </row>
    <row r="103">
      <c r="A103" s="14" t="n"/>
      <c r="B103" s="13" t="n"/>
      <c r="C103" s="40" t="n"/>
      <c r="D103" s="40" t="n"/>
      <c r="E103" s="26">
        <f>IF(OR(C103="",D103=""),"",ROUND((D103-C103)*24,1))</f>
        <v/>
      </c>
      <c r="F103" s="13" t="n"/>
      <c r="G103" s="13" t="n"/>
      <c r="H103" s="13" t="n"/>
      <c r="I103" s="13" t="n"/>
    </row>
    <row r="104">
      <c r="A104" s="14" t="n"/>
      <c r="B104" s="13" t="n"/>
      <c r="C104" s="40" t="n"/>
      <c r="D104" s="40" t="n"/>
      <c r="E104" s="26">
        <f>IF(OR(C104="",D104=""),"",ROUND((D104-C104)*24,1))</f>
        <v/>
      </c>
      <c r="F104" s="13" t="n"/>
      <c r="G104" s="13" t="n"/>
      <c r="H104" s="13" t="n"/>
      <c r="I104" s="13" t="n"/>
    </row>
    <row r="105">
      <c r="A105" s="14" t="n"/>
      <c r="B105" s="13" t="n"/>
      <c r="C105" s="40" t="n"/>
      <c r="D105" s="40" t="n"/>
      <c r="E105" s="26">
        <f>IF(OR(C105="",D105=""),"",ROUND((D105-C105)*24,1))</f>
        <v/>
      </c>
      <c r="F105" s="13" t="n"/>
      <c r="G105" s="13" t="n"/>
      <c r="H105" s="13" t="n"/>
      <c r="I105" s="13" t="n"/>
    </row>
    <row r="106">
      <c r="A106" s="14" t="n"/>
      <c r="B106" s="13" t="n"/>
      <c r="C106" s="40" t="n"/>
      <c r="D106" s="40" t="n"/>
      <c r="E106" s="26">
        <f>IF(OR(C106="",D106=""),"",ROUND((D106-C106)*24,1))</f>
        <v/>
      </c>
      <c r="F106" s="13" t="n"/>
      <c r="G106" s="13" t="n"/>
      <c r="H106" s="13" t="n"/>
      <c r="I106" s="13" t="n"/>
    </row>
    <row r="107">
      <c r="A107" s="14" t="n"/>
      <c r="B107" s="13" t="n"/>
      <c r="C107" s="40" t="n"/>
      <c r="D107" s="40" t="n"/>
      <c r="E107" s="26">
        <f>IF(OR(C107="",D107=""),"",ROUND((D107-C107)*24,1))</f>
        <v/>
      </c>
      <c r="F107" s="13" t="n"/>
      <c r="G107" s="13" t="n"/>
      <c r="H107" s="13" t="n"/>
      <c r="I107" s="13" t="n"/>
    </row>
    <row r="108">
      <c r="A108" s="14" t="n"/>
      <c r="B108" s="13" t="n"/>
      <c r="C108" s="40" t="n"/>
      <c r="D108" s="40" t="n"/>
      <c r="E108" s="26">
        <f>IF(OR(C108="",D108=""),"",ROUND((D108-C108)*24,1))</f>
        <v/>
      </c>
      <c r="F108" s="13" t="n"/>
      <c r="G108" s="13" t="n"/>
      <c r="H108" s="13" t="n"/>
      <c r="I108" s="13" t="n"/>
    </row>
    <row r="109">
      <c r="A109" s="14" t="n"/>
      <c r="B109" s="13" t="n"/>
      <c r="C109" s="40" t="n"/>
      <c r="D109" s="40" t="n"/>
      <c r="E109" s="26">
        <f>IF(OR(C109="",D109=""),"",ROUND((D109-C109)*24,1))</f>
        <v/>
      </c>
      <c r="F109" s="13" t="n"/>
      <c r="G109" s="13" t="n"/>
      <c r="H109" s="13" t="n"/>
      <c r="I109" s="13" t="n"/>
    </row>
    <row r="110">
      <c r="A110" s="14" t="n"/>
      <c r="B110" s="13" t="n"/>
      <c r="C110" s="40" t="n"/>
      <c r="D110" s="40" t="n"/>
      <c r="E110" s="26">
        <f>IF(OR(C110="",D110=""),"",ROUND((D110-C110)*24,1))</f>
        <v/>
      </c>
      <c r="F110" s="13" t="n"/>
      <c r="G110" s="13" t="n"/>
      <c r="H110" s="13" t="n"/>
      <c r="I110" s="13" t="n"/>
    </row>
    <row r="111">
      <c r="A111" s="14" t="n"/>
      <c r="B111" s="13" t="n"/>
      <c r="C111" s="40" t="n"/>
      <c r="D111" s="40" t="n"/>
      <c r="E111" s="26">
        <f>IF(OR(C111="",D111=""),"",ROUND((D111-C111)*24,1))</f>
        <v/>
      </c>
      <c r="F111" s="13" t="n"/>
      <c r="G111" s="13" t="n"/>
      <c r="H111" s="13" t="n"/>
      <c r="I111" s="13" t="n"/>
    </row>
    <row r="112">
      <c r="A112" s="14" t="n"/>
      <c r="B112" s="13" t="n"/>
      <c r="C112" s="40" t="n"/>
      <c r="D112" s="40" t="n"/>
      <c r="E112" s="26">
        <f>IF(OR(C112="",D112=""),"",ROUND((D112-C112)*24,1))</f>
        <v/>
      </c>
      <c r="F112" s="13" t="n"/>
      <c r="G112" s="13" t="n"/>
      <c r="H112" s="13" t="n"/>
      <c r="I112" s="13" t="n"/>
    </row>
    <row r="113">
      <c r="A113" s="14" t="n"/>
      <c r="B113" s="13" t="n"/>
      <c r="C113" s="40" t="n"/>
      <c r="D113" s="40" t="n"/>
      <c r="E113" s="26">
        <f>IF(OR(C113="",D113=""),"",ROUND((D113-C113)*24,1))</f>
        <v/>
      </c>
      <c r="F113" s="13" t="n"/>
      <c r="G113" s="13" t="n"/>
      <c r="H113" s="13" t="n"/>
      <c r="I113" s="13" t="n"/>
    </row>
    <row r="114">
      <c r="A114" s="14" t="n"/>
      <c r="B114" s="13" t="n"/>
      <c r="C114" s="40" t="n"/>
      <c r="D114" s="40" t="n"/>
      <c r="E114" s="26">
        <f>IF(OR(C114="",D114=""),"",ROUND((D114-C114)*24,1))</f>
        <v/>
      </c>
      <c r="F114" s="13" t="n"/>
      <c r="G114" s="13" t="n"/>
      <c r="H114" s="13" t="n"/>
      <c r="I114" s="13" t="n"/>
    </row>
    <row r="115">
      <c r="A115" s="14" t="n"/>
      <c r="B115" s="13" t="n"/>
      <c r="C115" s="40" t="n"/>
      <c r="D115" s="40" t="n"/>
      <c r="E115" s="26">
        <f>IF(OR(C115="",D115=""),"",ROUND((D115-C115)*24,1))</f>
        <v/>
      </c>
      <c r="F115" s="13" t="n"/>
      <c r="G115" s="13" t="n"/>
      <c r="H115" s="13" t="n"/>
      <c r="I115" s="13" t="n"/>
    </row>
    <row r="116">
      <c r="A116" s="14" t="n"/>
      <c r="B116" s="13" t="n"/>
      <c r="C116" s="40" t="n"/>
      <c r="D116" s="40" t="n"/>
      <c r="E116" s="26">
        <f>IF(OR(C116="",D116=""),"",ROUND((D116-C116)*24,1))</f>
        <v/>
      </c>
      <c r="F116" s="13" t="n"/>
      <c r="G116" s="13" t="n"/>
      <c r="H116" s="13" t="n"/>
      <c r="I116" s="13" t="n"/>
    </row>
    <row r="117">
      <c r="A117" s="14" t="n"/>
      <c r="B117" s="13" t="n"/>
      <c r="C117" s="40" t="n"/>
      <c r="D117" s="40" t="n"/>
      <c r="E117" s="26">
        <f>IF(OR(C117="",D117=""),"",ROUND((D117-C117)*24,1))</f>
        <v/>
      </c>
      <c r="F117" s="13" t="n"/>
      <c r="G117" s="13" t="n"/>
      <c r="H117" s="13" t="n"/>
      <c r="I117" s="13" t="n"/>
    </row>
    <row r="118">
      <c r="A118" s="14" t="n"/>
      <c r="B118" s="13" t="n"/>
      <c r="C118" s="40" t="n"/>
      <c r="D118" s="40" t="n"/>
      <c r="E118" s="26">
        <f>IF(OR(C118="",D118=""),"",ROUND((D118-C118)*24,1))</f>
        <v/>
      </c>
      <c r="F118" s="13" t="n"/>
      <c r="G118" s="13" t="n"/>
      <c r="H118" s="13" t="n"/>
      <c r="I118" s="13" t="n"/>
    </row>
    <row r="119">
      <c r="A119" s="14" t="n"/>
      <c r="B119" s="13" t="n"/>
      <c r="C119" s="40" t="n"/>
      <c r="D119" s="40" t="n"/>
      <c r="E119" s="26">
        <f>IF(OR(C119="",D119=""),"",ROUND((D119-C119)*24,1))</f>
        <v/>
      </c>
      <c r="F119" s="13" t="n"/>
      <c r="G119" s="13" t="n"/>
      <c r="H119" s="13" t="n"/>
      <c r="I119" s="13" t="n"/>
    </row>
    <row r="120">
      <c r="A120" s="14" t="n"/>
      <c r="B120" s="13" t="n"/>
      <c r="C120" s="40" t="n"/>
      <c r="D120" s="40" t="n"/>
      <c r="E120" s="26">
        <f>IF(OR(C120="",D120=""),"",ROUND((D120-C120)*24,1))</f>
        <v/>
      </c>
      <c r="F120" s="13" t="n"/>
      <c r="G120" s="13" t="n"/>
      <c r="H120" s="13" t="n"/>
      <c r="I120" s="13" t="n"/>
    </row>
    <row r="121">
      <c r="A121" s="14" t="n"/>
      <c r="B121" s="13" t="n"/>
      <c r="C121" s="40" t="n"/>
      <c r="D121" s="40" t="n"/>
      <c r="E121" s="26">
        <f>IF(OR(C121="",D121=""),"",ROUND((D121-C121)*24,1))</f>
        <v/>
      </c>
      <c r="F121" s="13" t="n"/>
      <c r="G121" s="13" t="n"/>
      <c r="H121" s="13" t="n"/>
      <c r="I121" s="13" t="n"/>
    </row>
    <row r="122">
      <c r="A122" s="14" t="n"/>
      <c r="B122" s="13" t="n"/>
      <c r="C122" s="40" t="n"/>
      <c r="D122" s="40" t="n"/>
      <c r="E122" s="26">
        <f>IF(OR(C122="",D122=""),"",ROUND((D122-C122)*24,1))</f>
        <v/>
      </c>
      <c r="F122" s="13" t="n"/>
      <c r="G122" s="13" t="n"/>
      <c r="H122" s="13" t="n"/>
      <c r="I122" s="13" t="n"/>
    </row>
    <row r="123">
      <c r="A123" s="14" t="n"/>
      <c r="B123" s="13" t="n"/>
      <c r="C123" s="40" t="n"/>
      <c r="D123" s="40" t="n"/>
      <c r="E123" s="26">
        <f>IF(OR(C123="",D123=""),"",ROUND((D123-C123)*24,1))</f>
        <v/>
      </c>
      <c r="F123" s="13" t="n"/>
      <c r="G123" s="13" t="n"/>
      <c r="H123" s="13" t="n"/>
      <c r="I123" s="13" t="n"/>
    </row>
    <row r="124">
      <c r="A124" s="14" t="n"/>
      <c r="B124" s="13" t="n"/>
      <c r="C124" s="40" t="n"/>
      <c r="D124" s="40" t="n"/>
      <c r="E124" s="26">
        <f>IF(OR(C124="",D124=""),"",ROUND((D124-C124)*24,1))</f>
        <v/>
      </c>
      <c r="F124" s="13" t="n"/>
      <c r="G124" s="13" t="n"/>
      <c r="H124" s="13" t="n"/>
      <c r="I124" s="13" t="n"/>
    </row>
    <row r="125">
      <c r="A125" s="14" t="n"/>
      <c r="B125" s="13" t="n"/>
      <c r="C125" s="40" t="n"/>
      <c r="D125" s="40" t="n"/>
      <c r="E125" s="26">
        <f>IF(OR(C125="",D125=""),"",ROUND((D125-C125)*24,1))</f>
        <v/>
      </c>
      <c r="F125" s="13" t="n"/>
      <c r="G125" s="13" t="n"/>
      <c r="H125" s="13" t="n"/>
      <c r="I125" s="13" t="n"/>
    </row>
    <row r="126">
      <c r="A126" s="14" t="n"/>
      <c r="B126" s="13" t="n"/>
      <c r="C126" s="40" t="n"/>
      <c r="D126" s="40" t="n"/>
      <c r="E126" s="26">
        <f>IF(OR(C126="",D126=""),"",ROUND((D126-C126)*24,1))</f>
        <v/>
      </c>
      <c r="F126" s="13" t="n"/>
      <c r="G126" s="13" t="n"/>
      <c r="H126" s="13" t="n"/>
      <c r="I126" s="13" t="n"/>
    </row>
    <row r="127">
      <c r="A127" s="14" t="n"/>
      <c r="B127" s="13" t="n"/>
      <c r="C127" s="40" t="n"/>
      <c r="D127" s="40" t="n"/>
      <c r="E127" s="26">
        <f>IF(OR(C127="",D127=""),"",ROUND((D127-C127)*24,1))</f>
        <v/>
      </c>
      <c r="F127" s="13" t="n"/>
      <c r="G127" s="13" t="n"/>
      <c r="H127" s="13" t="n"/>
      <c r="I127" s="13" t="n"/>
    </row>
    <row r="128">
      <c r="A128" s="14" t="n"/>
      <c r="B128" s="13" t="n"/>
      <c r="C128" s="40" t="n"/>
      <c r="D128" s="40" t="n"/>
      <c r="E128" s="26">
        <f>IF(OR(C128="",D128=""),"",ROUND((D128-C128)*24,1))</f>
        <v/>
      </c>
      <c r="F128" s="13" t="n"/>
      <c r="G128" s="13" t="n"/>
      <c r="H128" s="13" t="n"/>
      <c r="I128" s="13" t="n"/>
    </row>
    <row r="129">
      <c r="A129" s="14" t="n"/>
      <c r="B129" s="13" t="n"/>
      <c r="C129" s="40" t="n"/>
      <c r="D129" s="40" t="n"/>
      <c r="E129" s="26">
        <f>IF(OR(C129="",D129=""),"",ROUND((D129-C129)*24,1))</f>
        <v/>
      </c>
      <c r="F129" s="13" t="n"/>
      <c r="G129" s="13" t="n"/>
      <c r="H129" s="13" t="n"/>
      <c r="I129" s="13" t="n"/>
    </row>
    <row r="130">
      <c r="A130" s="14" t="n"/>
      <c r="B130" s="13" t="n"/>
      <c r="C130" s="40" t="n"/>
      <c r="D130" s="40" t="n"/>
      <c r="E130" s="26">
        <f>IF(OR(C130="",D130=""),"",ROUND((D130-C130)*24,1))</f>
        <v/>
      </c>
      <c r="F130" s="13" t="n"/>
      <c r="G130" s="13" t="n"/>
      <c r="H130" s="13" t="n"/>
      <c r="I130" s="13" t="n"/>
    </row>
    <row r="131">
      <c r="A131" s="14" t="n"/>
      <c r="B131" s="13" t="n"/>
      <c r="C131" s="40" t="n"/>
      <c r="D131" s="40" t="n"/>
      <c r="E131" s="26">
        <f>IF(OR(C131="",D131=""),"",ROUND((D131-C131)*24,1))</f>
        <v/>
      </c>
      <c r="F131" s="13" t="n"/>
      <c r="G131" s="13" t="n"/>
      <c r="H131" s="13" t="n"/>
      <c r="I131" s="13" t="n"/>
    </row>
    <row r="132">
      <c r="A132" s="14" t="n"/>
      <c r="B132" s="13" t="n"/>
      <c r="C132" s="40" t="n"/>
      <c r="D132" s="40" t="n"/>
      <c r="E132" s="26">
        <f>IF(OR(C132="",D132=""),"",ROUND((D132-C132)*24,1))</f>
        <v/>
      </c>
      <c r="F132" s="13" t="n"/>
      <c r="G132" s="13" t="n"/>
      <c r="H132" s="13" t="n"/>
      <c r="I132" s="13" t="n"/>
    </row>
    <row r="133">
      <c r="A133" s="14" t="n"/>
      <c r="B133" s="13" t="n"/>
      <c r="C133" s="40" t="n"/>
      <c r="D133" s="40" t="n"/>
      <c r="E133" s="26">
        <f>IF(OR(C133="",D133=""),"",ROUND((D133-C133)*24,1))</f>
        <v/>
      </c>
      <c r="F133" s="13" t="n"/>
      <c r="G133" s="13" t="n"/>
      <c r="H133" s="13" t="n"/>
      <c r="I133" s="13" t="n"/>
    </row>
    <row r="134">
      <c r="A134" s="14" t="n"/>
      <c r="B134" s="13" t="n"/>
      <c r="C134" s="40" t="n"/>
      <c r="D134" s="40" t="n"/>
      <c r="E134" s="26">
        <f>IF(OR(C134="",D134=""),"",ROUND((D134-C134)*24,1))</f>
        <v/>
      </c>
      <c r="F134" s="13" t="n"/>
      <c r="G134" s="13" t="n"/>
      <c r="H134" s="13" t="n"/>
      <c r="I134" s="13" t="n"/>
    </row>
    <row r="135">
      <c r="A135" s="14" t="n"/>
      <c r="B135" s="13" t="n"/>
      <c r="C135" s="40" t="n"/>
      <c r="D135" s="40" t="n"/>
      <c r="E135" s="26">
        <f>IF(OR(C135="",D135=""),"",ROUND((D135-C135)*24,1))</f>
        <v/>
      </c>
      <c r="F135" s="13" t="n"/>
      <c r="G135" s="13" t="n"/>
      <c r="H135" s="13" t="n"/>
      <c r="I135" s="13" t="n"/>
    </row>
    <row r="136">
      <c r="A136" s="14" t="n"/>
      <c r="B136" s="13" t="n"/>
      <c r="C136" s="40" t="n"/>
      <c r="D136" s="40" t="n"/>
      <c r="E136" s="26">
        <f>IF(OR(C136="",D136=""),"",ROUND((D136-C136)*24,1))</f>
        <v/>
      </c>
      <c r="F136" s="13" t="n"/>
      <c r="G136" s="13" t="n"/>
      <c r="H136" s="13" t="n"/>
      <c r="I136" s="13" t="n"/>
    </row>
    <row r="137">
      <c r="A137" s="14" t="n"/>
      <c r="B137" s="13" t="n"/>
      <c r="C137" s="40" t="n"/>
      <c r="D137" s="40" t="n"/>
      <c r="E137" s="26">
        <f>IF(OR(C137="",D137=""),"",ROUND((D137-C137)*24,1))</f>
        <v/>
      </c>
      <c r="F137" s="13" t="n"/>
      <c r="G137" s="13" t="n"/>
      <c r="H137" s="13" t="n"/>
      <c r="I137" s="13" t="n"/>
    </row>
    <row r="138">
      <c r="A138" s="14" t="n"/>
      <c r="B138" s="13" t="n"/>
      <c r="C138" s="40" t="n"/>
      <c r="D138" s="40" t="n"/>
      <c r="E138" s="26">
        <f>IF(OR(C138="",D138=""),"",ROUND((D138-C138)*24,1))</f>
        <v/>
      </c>
      <c r="F138" s="13" t="n"/>
      <c r="G138" s="13" t="n"/>
      <c r="H138" s="13" t="n"/>
      <c r="I138" s="13" t="n"/>
    </row>
    <row r="139">
      <c r="A139" s="14" t="n"/>
      <c r="B139" s="13" t="n"/>
      <c r="C139" s="40" t="n"/>
      <c r="D139" s="40" t="n"/>
      <c r="E139" s="26">
        <f>IF(OR(C139="",D139=""),"",ROUND((D139-C139)*24,1))</f>
        <v/>
      </c>
      <c r="F139" s="13" t="n"/>
      <c r="G139" s="13" t="n"/>
      <c r="H139" s="13" t="n"/>
      <c r="I139" s="13" t="n"/>
    </row>
    <row r="140">
      <c r="A140" s="14" t="n"/>
      <c r="B140" s="13" t="n"/>
      <c r="C140" s="40" t="n"/>
      <c r="D140" s="40" t="n"/>
      <c r="E140" s="26">
        <f>IF(OR(C140="",D140=""),"",ROUND((D140-C140)*24,1))</f>
        <v/>
      </c>
      <c r="F140" s="13" t="n"/>
      <c r="G140" s="13" t="n"/>
      <c r="H140" s="13" t="n"/>
      <c r="I140" s="13" t="n"/>
    </row>
    <row r="141">
      <c r="A141" s="14" t="n"/>
      <c r="B141" s="13" t="n"/>
      <c r="C141" s="40" t="n"/>
      <c r="D141" s="40" t="n"/>
      <c r="E141" s="26">
        <f>IF(OR(C141="",D141=""),"",ROUND((D141-C141)*24,1))</f>
        <v/>
      </c>
      <c r="F141" s="13" t="n"/>
      <c r="G141" s="13" t="n"/>
      <c r="H141" s="13" t="n"/>
      <c r="I141" s="13" t="n"/>
    </row>
    <row r="142">
      <c r="A142" s="14" t="n"/>
      <c r="B142" s="13" t="n"/>
      <c r="C142" s="40" t="n"/>
      <c r="D142" s="40" t="n"/>
      <c r="E142" s="26">
        <f>IF(OR(C142="",D142=""),"",ROUND((D142-C142)*24,1))</f>
        <v/>
      </c>
      <c r="F142" s="13" t="n"/>
      <c r="G142" s="13" t="n"/>
      <c r="H142" s="13" t="n"/>
      <c r="I142" s="13" t="n"/>
    </row>
    <row r="143">
      <c r="A143" s="14" t="n"/>
      <c r="B143" s="13" t="n"/>
      <c r="C143" s="40" t="n"/>
      <c r="D143" s="40" t="n"/>
      <c r="E143" s="26">
        <f>IF(OR(C143="",D143=""),"",ROUND((D143-C143)*24,1))</f>
        <v/>
      </c>
      <c r="F143" s="13" t="n"/>
      <c r="G143" s="13" t="n"/>
      <c r="H143" s="13" t="n"/>
      <c r="I143" s="13" t="n"/>
    </row>
    <row r="144">
      <c r="A144" s="14" t="n"/>
      <c r="B144" s="13" t="n"/>
      <c r="C144" s="40" t="n"/>
      <c r="D144" s="40" t="n"/>
      <c r="E144" s="26">
        <f>IF(OR(C144="",D144=""),"",ROUND((D144-C144)*24,1))</f>
        <v/>
      </c>
      <c r="F144" s="13" t="n"/>
      <c r="G144" s="13" t="n"/>
      <c r="H144" s="13" t="n"/>
      <c r="I144" s="13" t="n"/>
    </row>
    <row r="145">
      <c r="A145" s="14" t="n"/>
      <c r="B145" s="13" t="n"/>
      <c r="C145" s="40" t="n"/>
      <c r="D145" s="40" t="n"/>
      <c r="E145" s="26">
        <f>IF(OR(C145="",D145=""),"",ROUND((D145-C145)*24,1))</f>
        <v/>
      </c>
      <c r="F145" s="13" t="n"/>
      <c r="G145" s="13" t="n"/>
      <c r="H145" s="13" t="n"/>
      <c r="I145" s="13" t="n"/>
    </row>
    <row r="146">
      <c r="A146" s="14" t="n"/>
      <c r="B146" s="13" t="n"/>
      <c r="C146" s="40" t="n"/>
      <c r="D146" s="40" t="n"/>
      <c r="E146" s="26">
        <f>IF(OR(C146="",D146=""),"",ROUND((D146-C146)*24,1))</f>
        <v/>
      </c>
      <c r="F146" s="13" t="n"/>
      <c r="G146" s="13" t="n"/>
      <c r="H146" s="13" t="n"/>
      <c r="I146" s="13" t="n"/>
    </row>
    <row r="147">
      <c r="A147" s="14" t="n"/>
      <c r="B147" s="13" t="n"/>
      <c r="C147" s="40" t="n"/>
      <c r="D147" s="40" t="n"/>
      <c r="E147" s="26">
        <f>IF(OR(C147="",D147=""),"",ROUND((D147-C147)*24,1))</f>
        <v/>
      </c>
      <c r="F147" s="13" t="n"/>
      <c r="G147" s="13" t="n"/>
      <c r="H147" s="13" t="n"/>
      <c r="I147" s="13" t="n"/>
    </row>
    <row r="148">
      <c r="A148" s="14" t="n"/>
      <c r="B148" s="13" t="n"/>
      <c r="C148" s="40" t="n"/>
      <c r="D148" s="40" t="n"/>
      <c r="E148" s="26">
        <f>IF(OR(C148="",D148=""),"",ROUND((D148-C148)*24,1))</f>
        <v/>
      </c>
      <c r="F148" s="13" t="n"/>
      <c r="G148" s="13" t="n"/>
      <c r="H148" s="13" t="n"/>
      <c r="I148" s="13" t="n"/>
    </row>
    <row r="149">
      <c r="A149" s="14" t="n"/>
      <c r="B149" s="13" t="n"/>
      <c r="C149" s="40" t="n"/>
      <c r="D149" s="40" t="n"/>
      <c r="E149" s="26">
        <f>IF(OR(C149="",D149=""),"",ROUND((D149-C149)*24,1))</f>
        <v/>
      </c>
      <c r="F149" s="13" t="n"/>
      <c r="G149" s="13" t="n"/>
      <c r="H149" s="13" t="n"/>
      <c r="I149" s="13" t="n"/>
    </row>
    <row r="150">
      <c r="A150" s="14" t="n"/>
      <c r="B150" s="13" t="n"/>
      <c r="C150" s="40" t="n"/>
      <c r="D150" s="40" t="n"/>
      <c r="E150" s="26">
        <f>IF(OR(C150="",D150=""),"",ROUND((D150-C150)*24,1))</f>
        <v/>
      </c>
      <c r="F150" s="13" t="n"/>
      <c r="G150" s="13" t="n"/>
      <c r="H150" s="13" t="n"/>
      <c r="I150" s="13" t="n"/>
    </row>
    <row r="151">
      <c r="A151" s="14" t="n"/>
      <c r="B151" s="13" t="n"/>
      <c r="C151" s="40" t="n"/>
      <c r="D151" s="40" t="n"/>
      <c r="E151" s="26">
        <f>IF(OR(C151="",D151=""),"",ROUND((D151-C151)*24,1))</f>
        <v/>
      </c>
      <c r="F151" s="13" t="n"/>
      <c r="G151" s="13" t="n"/>
      <c r="H151" s="13" t="n"/>
      <c r="I151" s="13" t="n"/>
    </row>
    <row r="153">
      <c r="A153" s="20" t="inlineStr">
        <is>
          <t>立会者は必ず2名以上。時間外の単独作業は行わないこと。</t>
        </is>
      </c>
    </row>
  </sheetData>
  <dataValidations count="1">
    <dataValidation sqref="B2:B151" showDropDown="0" showInputMessage="0" showErrorMessage="0" allowBlank="1" errorTitle="入力エラー" error="リストから選んでください" type="list">
      <formula1>"1.5T,3T"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20" customWidth="1" min="4" max="4"/>
    <col width="78" customWidth="1" min="5" max="5"/>
    <col width="8" customWidth="1" min="6" max="6"/>
  </cols>
  <sheetData>
    <row r="1">
      <c r="A1" s="21" t="inlineStr">
        <is>
          <t>安全チェックリスト（撮影のたびに確認）</t>
        </is>
      </c>
    </row>
    <row r="2">
      <c r="A2" s="20" t="inlineStr">
        <is>
          <t>実施日と実施者を記入し、各項目を確認してから検査室に入ってください。このシートを印刷して使うこともできます。</t>
        </is>
      </c>
    </row>
    <row r="4">
      <c r="A4" s="41" t="inlineStr">
        <is>
          <t>実施日</t>
        </is>
      </c>
      <c r="B4" s="42" t="inlineStr"/>
      <c r="C4" s="41" t="inlineStr">
        <is>
          <t>実施者</t>
        </is>
      </c>
      <c r="D4" s="42" t="inlineStr"/>
    </row>
    <row r="6">
      <c r="A6" s="32" t="inlineStr">
        <is>
          <t>区分</t>
        </is>
      </c>
      <c r="E6" s="32" t="inlineStr">
        <is>
          <t>確認項目</t>
        </is>
      </c>
      <c r="F6" s="32" t="inlineStr">
        <is>
          <t>確認</t>
        </is>
      </c>
    </row>
    <row r="7" ht="30" customHeight="1">
      <c r="A7" s="43" t="inlineStr">
        <is>
          <t>実施前</t>
        </is>
      </c>
      <c r="B7" s="44" t="inlineStr">
        <is>
          <t>強力磁石（ネオジム磁石）を検査室に持ち込んでいないこと。模様付けと硬化は検査室外で完了させる</t>
        </is>
      </c>
      <c r="C7" s="45" t="n"/>
      <c r="D7" s="45" t="n"/>
      <c r="E7" s="45" t="n"/>
      <c r="F7" s="46" t="n"/>
    </row>
    <row r="8" ht="30" customHeight="1">
      <c r="A8" s="43" t="inlineStr">
        <is>
          <t>実施前</t>
        </is>
      </c>
      <c r="B8" s="44" t="inlineStr">
        <is>
          <t>金属を含む温度計・工具・治具を持ち込んでいないこと。治具は樹脂・木材など非磁性材であること</t>
        </is>
      </c>
      <c r="C8" s="45" t="n"/>
      <c r="D8" s="45" t="n"/>
      <c r="E8" s="45" t="n"/>
      <c r="F8" s="46" t="n"/>
    </row>
    <row r="9" ht="30" customHeight="1">
      <c r="A9" s="43" t="inlineStr">
        <is>
          <t>実施前</t>
        </is>
      </c>
      <c r="B9" s="44" t="inlineStr">
        <is>
          <t>全試料に回収用の索を付け、確実に固定したこと</t>
        </is>
      </c>
      <c r="C9" s="45" t="n"/>
      <c r="D9" s="45" t="n"/>
      <c r="E9" s="45" t="n"/>
      <c r="F9" s="46" t="n"/>
    </row>
    <row r="10" ht="30" customHeight="1">
      <c r="A10" s="43" t="inlineStr">
        <is>
          <t>実施前</t>
        </is>
      </c>
      <c r="B10" s="44" t="inlineStr">
        <is>
          <t>立会者が2名以上そろっていること</t>
        </is>
      </c>
      <c r="C10" s="45" t="n"/>
      <c r="D10" s="45" t="n"/>
      <c r="E10" s="45" t="n"/>
      <c r="F10" s="46" t="n"/>
    </row>
    <row r="11" ht="30" customHeight="1">
      <c r="A11" s="43" t="inlineStr">
        <is>
          <t>実施前</t>
        </is>
      </c>
      <c r="B11" s="44" t="inlineStr">
        <is>
          <t>中止基準を共有したこと（異音／試料のズレ／示温ラベルの想定外の変色 → 即中断）</t>
        </is>
      </c>
      <c r="C11" s="45" t="n"/>
      <c r="D11" s="45" t="n"/>
      <c r="E11" s="45" t="n"/>
      <c r="F11" s="46" t="n"/>
    </row>
    <row r="12" ht="30" customHeight="1">
      <c r="A12" s="43" t="inlineStr">
        <is>
          <t>実施前</t>
        </is>
      </c>
      <c r="B12" s="44" t="inlineStr">
        <is>
          <t>持ち込み物を一覧で確認したこと</t>
        </is>
      </c>
      <c r="C12" s="45" t="n"/>
      <c r="D12" s="45" t="n"/>
      <c r="E12" s="45" t="n"/>
      <c r="F12" s="46" t="n"/>
    </row>
    <row r="13" ht="30" customHeight="1">
      <c r="A13" s="43" t="inlineStr">
        <is>
          <t>実施中</t>
        </is>
      </c>
      <c r="B13" s="44" t="inlineStr">
        <is>
          <t>人体（自分の手を含む）の撮影を行っていないこと。ファントムのみであること</t>
        </is>
      </c>
      <c r="C13" s="45" t="n"/>
      <c r="D13" s="45" t="n"/>
      <c r="E13" s="45" t="n"/>
      <c r="F13" s="46" t="n"/>
    </row>
    <row r="14" ht="30" customHeight="1">
      <c r="A14" s="43" t="inlineStr">
        <is>
          <t>実施中</t>
        </is>
      </c>
      <c r="B14" s="44" t="inlineStr">
        <is>
          <t>試料の位置ずれがないことを撮影ごとに確認したこと</t>
        </is>
      </c>
      <c r="C14" s="45" t="n"/>
      <c r="D14" s="45" t="n"/>
      <c r="E14" s="45" t="n"/>
      <c r="F14" s="46" t="n"/>
    </row>
    <row r="15" ht="30" customHeight="1">
      <c r="A15" s="43" t="inlineStr">
        <is>
          <t>実施後</t>
        </is>
      </c>
      <c r="B15" s="44" t="inlineStr">
        <is>
          <t>全試料を回収し、点数が一致することを確認したこと</t>
        </is>
      </c>
      <c r="C15" s="45" t="n"/>
      <c r="D15" s="45" t="n"/>
      <c r="E15" s="45" t="n"/>
      <c r="F15" s="46" t="n"/>
    </row>
    <row r="16" ht="30" customHeight="1">
      <c r="A16" s="43" t="inlineStr">
        <is>
          <t>実施後</t>
        </is>
      </c>
      <c r="B16" s="44" t="inlineStr">
        <is>
          <t>撮影条件と実施内容を 10_撮影ログ に記録したこと</t>
        </is>
      </c>
      <c r="C16" s="45" t="n"/>
      <c r="D16" s="45" t="n"/>
      <c r="E16" s="45" t="n"/>
      <c r="F16" s="46" t="n"/>
    </row>
    <row r="17" ht="30" customHeight="1">
      <c r="A17" s="43" t="inlineStr">
        <is>
          <t>実施後</t>
        </is>
      </c>
      <c r="B17" s="44" t="inlineStr">
        <is>
          <t>検査室内に持ち込み物が残っていないことを確認したこと</t>
        </is>
      </c>
      <c r="C17" s="45" t="n"/>
      <c r="D17" s="45" t="n"/>
      <c r="E17" s="45" t="n"/>
      <c r="F17" s="46" t="n"/>
    </row>
    <row r="19">
      <c r="A19" s="47" t="inlineStr">
        <is>
          <t>人体でのMRI撮影は行わない。ファントムのみ。これは例外なく守ってください。</t>
        </is>
      </c>
    </row>
  </sheetData>
  <mergeCells count="11">
    <mergeCell ref="B17:E17"/>
    <mergeCell ref="B9:E9"/>
    <mergeCell ref="B8:E8"/>
    <mergeCell ref="B12:E12"/>
    <mergeCell ref="B13:E13"/>
    <mergeCell ref="B16:E16"/>
    <mergeCell ref="B15:E15"/>
    <mergeCell ref="B7:E7"/>
    <mergeCell ref="B11:E11"/>
    <mergeCell ref="B10:E10"/>
    <mergeCell ref="B14:E14"/>
  </mergeCells>
  <dataValidations count="1">
    <dataValidation sqref="F7:F17" showDropDown="0" showInputMessage="0" showErrorMessage="0" allowBlank="1" errorTitle="入力エラー" error="リストから選んでください" type="list">
      <formula1>"✓,該当なし"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2026-09-16T04:43:21Z</dcterms:created>
  <dcterms:modified xmlns:dcterms="http://purl.org/dc/terms/" xmlns:xsi="http://www.w3.org/2001/XMLSchema-instance" xsi:type="dcterms:W3CDTF">2026-09-16T04:43:22Z</dcterms:modified>
</cp:coreProperties>
</file>